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MPCbS\"/>
    </mc:Choice>
  </mc:AlternateContent>
  <xr:revisionPtr revIDLastSave="0" documentId="8_{C53CA986-8919-4334-A14E-899C1B33B5B8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<sst xmlns="http://schemas.openxmlformats.org/spreadsheetml/2006/main" count="914" uniqueCount="279">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</sst>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150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MT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MT</v>
      </c>
      <c r="B1" s="32">
        <f>SUMIFS(E3:E52,A3:A52,A1)</f>
        <v>4411000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MT</v>
      </c>
      <c r="B1" s="32">
        <f>SUMIFS(C3:C53,A3:A53,A1)</f>
        <v>557000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MT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Montana</v>
      </c>
      <c r="B1" s="32" t="str">
        <f>LOOKUP(A1,M4:N53,N4:N53)</f>
        <v>MT</v>
      </c>
      <c r="C1" s="32">
        <f>SUMIFS(L5:L52,A5:A52,B1)</f>
        <v>678977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MT</v>
      </c>
      <c r="B1" s="32">
        <f>SUMIFS(D4:D53,A4:A53,A1)</f>
        <v>827.136333985649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MT</v>
      </c>
      <c r="B1" s="32">
        <f>SUMIFS(C3:C52,A3:A52,A1)</f>
        <v>209000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MT</v>
      </c>
      <c r="B1" s="32">
        <f>SUMIFS(D5:D54,A5:A54,A1)</f>
        <v>3321.2328767123286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3321.2328767123286</v>
      </c>
    </row>
    <row r="7" spans="1:2" x14ac:dyDescent="0.75">
      <c r="A7" t="s">
        <v>55</v>
      </c>
      <c r="B7">
        <f>'onshore wind'!C1</f>
        <v>678977</v>
      </c>
    </row>
    <row r="8" spans="1:2" x14ac:dyDescent="0.75">
      <c r="A8" t="s">
        <v>33</v>
      </c>
      <c r="B8">
        <f>'solar PV'!B1</f>
        <v>4411000</v>
      </c>
    </row>
    <row r="9" spans="1:2" x14ac:dyDescent="0.75">
      <c r="A9" t="s">
        <v>34</v>
      </c>
      <c r="B9">
        <f>'solar thermal'!B1</f>
        <v>557000</v>
      </c>
    </row>
    <row r="10" spans="1:2" x14ac:dyDescent="0.75">
      <c r="A10" t="s">
        <v>29</v>
      </c>
      <c r="B10">
        <f>bio!B1</f>
        <v>827.136333985649</v>
      </c>
    </row>
    <row r="11" spans="1:2" x14ac:dyDescent="0.75">
      <c r="A11" t="s">
        <v>39</v>
      </c>
      <c r="B11">
        <f>geothermal!B1</f>
        <v>209000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25.953920921463023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827.136333985649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2023-11-07T21:44:32Z</dcterms:modified>
</cp:coreProperties>
</file>
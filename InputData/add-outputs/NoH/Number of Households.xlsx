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T\add-outputs\NoH\"/>
    </mc:Choice>
  </mc:AlternateContent>
  <xr:revisionPtr revIDLastSave="0" documentId="8_{950C35E6-2824-4432-BEF3-A43E2AD4DD47}"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Z2" i="3"/>
  <c r="J2" i="3"/>
  <c r="R2" i="3"/>
  <c r="X2" i="3"/>
  <c r="D2" i="3"/>
  <c r="E2" i="3"/>
  <c r="AA2" i="3"/>
  <c r="I2" i="3"/>
  <c r="B2" i="3"/>
  <c r="P2" i="3"/>
  <c r="T2" i="3"/>
  <c r="F2" i="3"/>
  <c r="AB2" i="3"/>
  <c r="AD2" i="3"/>
  <c r="AE2" i="3"/>
  <c r="S2" i="3"/>
  <c r="U2" i="3"/>
  <c r="W2" i="3"/>
  <c r="G2" i="3"/>
  <c r="AC2" i="3"/>
  <c r="H2" i="3"/>
  <c r="K2" i="3"/>
  <c r="N2" i="3"/>
  <c r="L2" i="3"/>
  <c r="M2" i="3"/>
  <c r="O2" i="3"/>
  <c r="Q2" i="3"/>
  <c r="V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<sst xmlns="http://schemas.openxmlformats.org/spreadsheetml/2006/main" count="1069" uniqueCount="448">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</sst>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376</v>
      </c>
      <c r="C1" s="68">
        <v>46185</v>
      </c>
      <c r="H1" t="s">
        <v>324</v>
      </c>
      <c r="I1" t="s">
        <v>325</v>
      </c>
    </row>
    <row r="2" spans="1:9" x14ac:dyDescent="0.25">
      <c r="B2" t="str">
        <f>VLOOKUP(B1,H2:I52,2)</f>
        <v>MT</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456748.65989002713</v>
      </c>
      <c r="C2">
        <f>SUMIFS('state calcs'!C62:C112,'state calcs'!$A$62:$A$112,About!$B$2)</f>
        <v>464576.8012016344</v>
      </c>
      <c r="D2">
        <f>SUMIFS('state calcs'!D62:D112,'state calcs'!$A$62:$A$112,About!$B$2)</f>
        <v>469668.11963907687</v>
      </c>
      <c r="E2">
        <f>SUMIFS('state calcs'!E62:E112,'state calcs'!$A$62:$A$112,About!$B$2)</f>
        <v>474772.77012253524</v>
      </c>
      <c r="F2">
        <f>SUMIFS('state calcs'!F62:F112,'state calcs'!$A$62:$A$112,About!$B$2)</f>
        <v>479982.15607941325</v>
      </c>
      <c r="G2">
        <f>SUMIFS('state calcs'!G62:G112,'state calcs'!$A$62:$A$112,About!$B$2)</f>
        <v>485184.66727627878</v>
      </c>
      <c r="H2">
        <f>SUMIFS('state calcs'!H62:H112,'state calcs'!$A$62:$A$112,About!$B$2)</f>
        <v>490414.88956821267</v>
      </c>
      <c r="I2">
        <f>SUMIFS('state calcs'!I62:I112,'state calcs'!$A$62:$A$112,About!$B$2)</f>
        <v>495681.88027071784</v>
      </c>
      <c r="J2">
        <f>SUMIFS('state calcs'!J62:J112,'state calcs'!$A$62:$A$112,About!$B$2)</f>
        <v>500919.53201197129</v>
      </c>
      <c r="K2">
        <f>SUMIFS('state calcs'!K62:K112,'state calcs'!$A$62:$A$112,About!$B$2)</f>
        <v>506047.13949501124</v>
      </c>
      <c r="L2">
        <f>SUMIFS('state calcs'!L62:L112,'state calcs'!$A$62:$A$112,About!$B$2)</f>
        <v>511334.25261506496</v>
      </c>
      <c r="M2">
        <f>SUMIFS('state calcs'!M62:M112,'state calcs'!$A$62:$A$112,About!$B$2)</f>
        <v>516598.7252300012</v>
      </c>
      <c r="N2">
        <f>SUMIFS('state calcs'!N62:N112,'state calcs'!$A$62:$A$112,About!$B$2)</f>
        <v>521778.48432257405</v>
      </c>
      <c r="O2">
        <f>SUMIFS('state calcs'!O62:O112,'state calcs'!$A$62:$A$112,About!$B$2)</f>
        <v>526834.66816874873</v>
      </c>
      <c r="P2">
        <f>SUMIFS('state calcs'!P62:P112,'state calcs'!$A$62:$A$112,About!$B$2)</f>
        <v>531842.65097483376</v>
      </c>
      <c r="Q2">
        <f>SUMIFS('state calcs'!Q62:Q112,'state calcs'!$A$62:$A$112,About!$B$2)</f>
        <v>536863.96561824344</v>
      </c>
      <c r="R2">
        <f>SUMIFS('state calcs'!R62:R112,'state calcs'!$A$62:$A$112,About!$B$2)</f>
        <v>541866.63270854217</v>
      </c>
      <c r="S2">
        <f>SUMIFS('state calcs'!S62:S112,'state calcs'!$A$62:$A$112,About!$B$2)</f>
        <v>546859.46912715235</v>
      </c>
      <c r="T2">
        <f>SUMIFS('state calcs'!T62:T112,'state calcs'!$A$62:$A$112,About!$B$2)</f>
        <v>551829.80467921228</v>
      </c>
      <c r="U2">
        <f>SUMIFS('state calcs'!U62:U112,'state calcs'!$A$62:$A$112,About!$B$2)</f>
        <v>556852.72574450832</v>
      </c>
      <c r="V2">
        <f>SUMIFS('state calcs'!V62:V112,'state calcs'!$A$62:$A$112,About!$B$2)</f>
        <v>561832.27116684476</v>
      </c>
      <c r="W2">
        <f>SUMIFS('state calcs'!W62:W112,'state calcs'!$A$62:$A$112,About!$B$2)</f>
        <v>566758.55417824199</v>
      </c>
      <c r="X2">
        <f>SUMIFS('state calcs'!X62:X112,'state calcs'!$A$62:$A$112,About!$B$2)</f>
        <v>571661.83924051817</v>
      </c>
      <c r="Y2">
        <f>SUMIFS('state calcs'!Y62:Y112,'state calcs'!$A$62:$A$112,About!$B$2)</f>
        <v>576544.87523314217</v>
      </c>
      <c r="Z2">
        <f>SUMIFS('state calcs'!Z62:Z112,'state calcs'!$A$62:$A$112,About!$B$2)</f>
        <v>581411.61251121538</v>
      </c>
      <c r="AA2">
        <f>SUMIFS('state calcs'!AA62:AA112,'state calcs'!$A$62:$A$112,About!$B$2)</f>
        <v>586247.26075728459</v>
      </c>
      <c r="AB2">
        <f>SUMIFS('state calcs'!AB62:AB112,'state calcs'!$A$62:$A$112,About!$B$2)</f>
        <v>591076.37373673357</v>
      </c>
      <c r="AC2">
        <f>SUMIFS('state calcs'!AC62:AC112,'state calcs'!$A$62:$A$112,About!$B$2)</f>
        <v>595871.09271734464</v>
      </c>
      <c r="AD2">
        <f>SUMIFS('state calcs'!AD62:AD112,'state calcs'!$A$62:$A$112,About!$B$2)</f>
        <v>600627.07440509007</v>
      </c>
      <c r="AE2">
        <f>SUMIFS('state calcs'!AE62:AE112,'state calcs'!$A$62:$A$112,About!$B$2)</f>
        <v>605355.90356682288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2026-06-12T19:29:08Z</dcterms:modified>
</cp:coreProperties>
</file>
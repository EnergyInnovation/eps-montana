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T\add-outputs\HOIpTP\"/>
    </mc:Choice>
  </mc:AlternateContent>
  <xr:revisionPtr revIDLastSave="0" documentId="8_{6F54A103-F684-45D9-A7E1-7C85EC2A2D4B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Y13" i="19"/>
  <c r="P13" i="19"/>
  <c r="B13" i="19"/>
  <c r="J13" i="19" s="1"/>
  <c r="Q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B7" i="19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Z3" i="19"/>
  <c r="V3" i="19"/>
  <c r="Q3" i="19"/>
  <c r="J3" i="19"/>
  <c r="F3" i="19"/>
  <c r="B3" i="19"/>
  <c r="O3" i="19" s="1"/>
  <c r="AB2" i="19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Z15" i="18"/>
  <c r="Q15" i="18"/>
  <c r="D15" i="18"/>
  <c r="B15" i="18"/>
  <c r="C15" i="18" s="1"/>
  <c r="R14" i="18"/>
  <c r="H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Q8" i="18"/>
  <c r="N8" i="18"/>
  <c r="M8" i="18"/>
  <c r="F8" i="18"/>
  <c r="B8" i="18"/>
  <c r="X8" i="18" s="1"/>
  <c r="AB7" i="18"/>
  <c r="AA7" i="18"/>
  <c r="B7" i="18"/>
  <c r="H7" i="18" s="1"/>
  <c r="X6" i="18"/>
  <c r="P6" i="18"/>
  <c r="O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W3" i="18"/>
  <c r="V3" i="18"/>
  <c r="P3" i="18"/>
  <c r="N3" i="18"/>
  <c r="J3" i="18"/>
  <c r="I3" i="18"/>
  <c r="H3" i="18"/>
  <c r="B3" i="18"/>
  <c r="Z3" i="18" s="1"/>
  <c r="Y2" i="18"/>
  <c r="U2" i="18"/>
  <c r="P2" i="18"/>
  <c r="D2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E17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S13" i="17"/>
  <c r="Q13" i="17"/>
  <c r="C13" i="17"/>
  <c r="B13" i="17"/>
  <c r="W13" i="17" s="1"/>
  <c r="Z12" i="17"/>
  <c r="Y12" i="17"/>
  <c r="O12" i="17"/>
  <c r="M12" i="17"/>
  <c r="H12" i="17"/>
  <c r="F12" i="17"/>
  <c r="C12" i="17"/>
  <c r="B12" i="17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V8" i="17"/>
  <c r="S8" i="17"/>
  <c r="R8" i="17"/>
  <c r="P8" i="17"/>
  <c r="O8" i="17"/>
  <c r="F8" i="17"/>
  <c r="D8" i="17"/>
  <c r="B8" i="17"/>
  <c r="AB8" i="17" s="1"/>
  <c r="B7" i="17"/>
  <c r="Z7" i="17" s="1"/>
  <c r="Q6" i="17"/>
  <c r="L6" i="17"/>
  <c r="G6" i="17"/>
  <c r="E6" i="17"/>
  <c r="C6" i="17"/>
  <c r="B6" i="17"/>
  <c r="M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J2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Z17" i="16"/>
  <c r="Y17" i="16"/>
  <c r="V17" i="16"/>
  <c r="U17" i="16"/>
  <c r="R17" i="16"/>
  <c r="H17" i="16"/>
  <c r="D17" i="16"/>
  <c r="B17" i="16"/>
  <c r="J17" i="16" s="1"/>
  <c r="B16" i="16"/>
  <c r="AA15" i="16"/>
  <c r="X15" i="16"/>
  <c r="K15" i="16"/>
  <c r="B15" i="16"/>
  <c r="Y15" i="16" s="1"/>
  <c r="G14" i="16"/>
  <c r="B14" i="16"/>
  <c r="X13" i="16"/>
  <c r="W13" i="16"/>
  <c r="J13" i="16"/>
  <c r="D13" i="16"/>
  <c r="B13" i="16"/>
  <c r="B12" i="16"/>
  <c r="W12" i="16" s="1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Y7" i="16"/>
  <c r="V7" i="16"/>
  <c r="S7" i="16"/>
  <c r="R7" i="16"/>
  <c r="O7" i="16"/>
  <c r="M7" i="16"/>
  <c r="L7" i="16"/>
  <c r="H7" i="16"/>
  <c r="G7" i="16"/>
  <c r="E7" i="16"/>
  <c r="B7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T3" i="16"/>
  <c r="O3" i="16"/>
  <c r="C3" i="16"/>
  <c r="B3" i="16"/>
  <c r="W3" i="16" s="1"/>
  <c r="AA2" i="16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E15" i="15"/>
  <c r="B15" i="15"/>
  <c r="B14" i="15"/>
  <c r="D14" i="15" s="1"/>
  <c r="W13" i="15"/>
  <c r="C13" i="15"/>
  <c r="B13" i="15"/>
  <c r="AB13" i="15" s="1"/>
  <c r="X12" i="15"/>
  <c r="W12" i="15"/>
  <c r="T12" i="15"/>
  <c r="S12" i="15"/>
  <c r="R12" i="15"/>
  <c r="Q12" i="15"/>
  <c r="P12" i="15"/>
  <c r="I12" i="15"/>
  <c r="H12" i="15"/>
  <c r="G12" i="15"/>
  <c r="D12" i="15"/>
  <c r="C12" i="15"/>
  <c r="B12" i="15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AA8" i="15"/>
  <c r="Z8" i="15"/>
  <c r="Y8" i="15"/>
  <c r="X8" i="15"/>
  <c r="R8" i="15"/>
  <c r="O8" i="15"/>
  <c r="M8" i="15"/>
  <c r="L8" i="15"/>
  <c r="K8" i="15"/>
  <c r="J8" i="15"/>
  <c r="H8" i="15"/>
  <c r="G8" i="15"/>
  <c r="F8" i="15"/>
  <c r="D8" i="15"/>
  <c r="B8" i="15"/>
  <c r="E8" i="15" s="1"/>
  <c r="AA7" i="15"/>
  <c r="B7" i="15"/>
  <c r="V7" i="15" s="1"/>
  <c r="AB6" i="15"/>
  <c r="AA6" i="15"/>
  <c r="V6" i="15"/>
  <c r="Q6" i="15"/>
  <c r="P6" i="15"/>
  <c r="O6" i="15"/>
  <c r="M6" i="15"/>
  <c r="D6" i="15"/>
  <c r="B6" i="15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AA3" i="15"/>
  <c r="Q3" i="15"/>
  <c r="N3" i="15"/>
  <c r="M3" i="15"/>
  <c r="L3" i="15"/>
  <c r="F3" i="15"/>
  <c r="D3" i="15"/>
  <c r="B3" i="15"/>
  <c r="Z3" i="15" s="1"/>
  <c r="P2" i="15"/>
  <c r="K2" i="15"/>
  <c r="J2" i="15"/>
  <c r="H2" i="15"/>
  <c r="F2" i="15"/>
  <c r="B2" i="15"/>
  <c r="C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V15" i="14"/>
  <c r="U15" i="14"/>
  <c r="O15" i="14"/>
  <c r="N15" i="14"/>
  <c r="M15" i="14"/>
  <c r="L15" i="14"/>
  <c r="H15" i="14"/>
  <c r="F15" i="14"/>
  <c r="B15" i="14"/>
  <c r="AB15" i="14" s="1"/>
  <c r="B14" i="14"/>
  <c r="Y14" i="14" s="1"/>
  <c r="B13" i="14"/>
  <c r="X13" i="14" s="1"/>
  <c r="B12" i="14"/>
  <c r="F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R7" i="14"/>
  <c r="L7" i="14"/>
  <c r="K7" i="14"/>
  <c r="I7" i="14"/>
  <c r="H7" i="14"/>
  <c r="B7" i="14"/>
  <c r="AB7" i="14" s="1"/>
  <c r="B6" i="14"/>
  <c r="AA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Y3" i="14"/>
  <c r="W3" i="14"/>
  <c r="P3" i="14"/>
  <c r="N3" i="14"/>
  <c r="M3" i="14"/>
  <c r="L3" i="14"/>
  <c r="E3" i="14"/>
  <c r="D3" i="14"/>
  <c r="B3" i="14"/>
  <c r="AB3" i="14" s="1"/>
  <c r="B2" i="14"/>
  <c r="V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C17" i="13"/>
  <c r="B17" i="13"/>
  <c r="F17" i="13" s="1"/>
  <c r="U16" i="13"/>
  <c r="T16" i="13"/>
  <c r="H16" i="13"/>
  <c r="G16" i="13"/>
  <c r="B16" i="13"/>
  <c r="AA16" i="13" s="1"/>
  <c r="AA15" i="13"/>
  <c r="Z15" i="13"/>
  <c r="T15" i="13"/>
  <c r="S15" i="13"/>
  <c r="P15" i="13"/>
  <c r="H15" i="13"/>
  <c r="G15" i="13"/>
  <c r="B15" i="13"/>
  <c r="AA14" i="13"/>
  <c r="Y14" i="13"/>
  <c r="W14" i="13"/>
  <c r="V14" i="13"/>
  <c r="P14" i="13"/>
  <c r="N14" i="13"/>
  <c r="L14" i="13"/>
  <c r="B14" i="13"/>
  <c r="X13" i="13"/>
  <c r="R13" i="13"/>
  <c r="Q13" i="13"/>
  <c r="O13" i="13"/>
  <c r="N13" i="13"/>
  <c r="B13" i="13"/>
  <c r="G13" i="13" s="1"/>
  <c r="W12" i="13"/>
  <c r="M12" i="13"/>
  <c r="J12" i="13"/>
  <c r="I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T8" i="13"/>
  <c r="Q8" i="13"/>
  <c r="K8" i="13"/>
  <c r="J8" i="13"/>
  <c r="I8" i="13"/>
  <c r="G8" i="13"/>
  <c r="F8" i="13"/>
  <c r="E8" i="13"/>
  <c r="D8" i="13"/>
  <c r="B8" i="13"/>
  <c r="AA8" i="13" s="1"/>
  <c r="AB7" i="13"/>
  <c r="U7" i="13"/>
  <c r="S7" i="13"/>
  <c r="R7" i="13"/>
  <c r="N7" i="13"/>
  <c r="F7" i="13"/>
  <c r="E7" i="13"/>
  <c r="C7" i="13"/>
  <c r="B7" i="13"/>
  <c r="AA7" i="13" s="1"/>
  <c r="O6" i="13"/>
  <c r="J6" i="13"/>
  <c r="H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W3" i="13"/>
  <c r="V3" i="13"/>
  <c r="P3" i="13"/>
  <c r="N3" i="13"/>
  <c r="M3" i="13"/>
  <c r="K3" i="13"/>
  <c r="J3" i="13"/>
  <c r="I3" i="13"/>
  <c r="F3" i="13"/>
  <c r="E3" i="13"/>
  <c r="D3" i="13"/>
  <c r="C3" i="13"/>
  <c r="B3" i="13"/>
  <c r="AA3" i="13" s="1"/>
  <c r="AB2" i="13"/>
  <c r="Y2" i="13"/>
  <c r="X2" i="13"/>
  <c r="V2" i="13"/>
  <c r="U2" i="13"/>
  <c r="R2" i="13"/>
  <c r="Q2" i="13"/>
  <c r="P2" i="13"/>
  <c r="O2" i="13"/>
  <c r="N2" i="13"/>
  <c r="M2" i="13"/>
  <c r="L2" i="13"/>
  <c r="I2" i="13"/>
  <c r="H2" i="13"/>
  <c r="G2" i="13"/>
  <c r="F2" i="13"/>
  <c r="E2" i="13"/>
  <c r="D2" i="13"/>
  <c r="C2" i="13"/>
  <c r="B2" i="13"/>
  <c r="S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B17" i="12"/>
  <c r="G17" i="12" s="1"/>
  <c r="AB16" i="12"/>
  <c r="AA16" i="12"/>
  <c r="Z16" i="12"/>
  <c r="J16" i="12"/>
  <c r="C16" i="12"/>
  <c r="B16" i="12"/>
  <c r="P15" i="12"/>
  <c r="O15" i="12"/>
  <c r="J15" i="12"/>
  <c r="I15" i="12"/>
  <c r="H15" i="12"/>
  <c r="G15" i="12"/>
  <c r="B15" i="12"/>
  <c r="C15" i="12" s="1"/>
  <c r="B14" i="12"/>
  <c r="Y14" i="12" s="1"/>
  <c r="B13" i="12"/>
  <c r="B12" i="12"/>
  <c r="AB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Z8" i="12"/>
  <c r="Y8" i="12"/>
  <c r="X8" i="12"/>
  <c r="W8" i="12"/>
  <c r="V8" i="12"/>
  <c r="U8" i="12"/>
  <c r="S8" i="12"/>
  <c r="R8" i="12"/>
  <c r="P8" i="12"/>
  <c r="M8" i="12"/>
  <c r="J8" i="12"/>
  <c r="I8" i="12"/>
  <c r="H8" i="12"/>
  <c r="G8" i="12"/>
  <c r="F8" i="12"/>
  <c r="D8" i="12"/>
  <c r="C8" i="12"/>
  <c r="B8" i="12"/>
  <c r="Q8" i="12" s="1"/>
  <c r="AB7" i="12"/>
  <c r="X7" i="12"/>
  <c r="W7" i="12"/>
  <c r="V7" i="12"/>
  <c r="S7" i="12"/>
  <c r="F7" i="12"/>
  <c r="D7" i="12"/>
  <c r="B7" i="12"/>
  <c r="I7" i="12" s="1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Y3" i="12"/>
  <c r="T3" i="12"/>
  <c r="P3" i="12"/>
  <c r="N3" i="12"/>
  <c r="M3" i="12"/>
  <c r="L3" i="12"/>
  <c r="K3" i="12"/>
  <c r="J3" i="12"/>
  <c r="I3" i="12"/>
  <c r="G3" i="12"/>
  <c r="F3" i="12"/>
  <c r="B3" i="12"/>
  <c r="U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B17" i="11"/>
  <c r="AB17" i="11" s="1"/>
  <c r="AB16" i="11"/>
  <c r="Y16" i="11"/>
  <c r="W16" i="11"/>
  <c r="V16" i="11"/>
  <c r="D16" i="11"/>
  <c r="B16" i="11"/>
  <c r="AA16" i="11" s="1"/>
  <c r="W15" i="11"/>
  <c r="R15" i="11"/>
  <c r="B15" i="11"/>
  <c r="Q14" i="11"/>
  <c r="P14" i="11"/>
  <c r="L14" i="11"/>
  <c r="K14" i="11"/>
  <c r="J14" i="11"/>
  <c r="I14" i="11"/>
  <c r="B14" i="11"/>
  <c r="E14" i="11" s="1"/>
  <c r="AA13" i="11"/>
  <c r="Z13" i="11"/>
  <c r="R13" i="11"/>
  <c r="M13" i="11"/>
  <c r="L13" i="11"/>
  <c r="J13" i="11"/>
  <c r="B13" i="11"/>
  <c r="X13" i="11" s="1"/>
  <c r="AB12" i="11"/>
  <c r="Z12" i="11"/>
  <c r="X12" i="11"/>
  <c r="U12" i="11"/>
  <c r="L12" i="11"/>
  <c r="J12" i="11"/>
  <c r="G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T8" i="11"/>
  <c r="O8" i="11"/>
  <c r="N8" i="11"/>
  <c r="K8" i="11"/>
  <c r="J8" i="11"/>
  <c r="B8" i="11"/>
  <c r="S8" i="11" s="1"/>
  <c r="R7" i="11"/>
  <c r="P7" i="11"/>
  <c r="K7" i="11"/>
  <c r="J7" i="11"/>
  <c r="I7" i="11"/>
  <c r="H7" i="11"/>
  <c r="B7" i="11"/>
  <c r="F7" i="11" s="1"/>
  <c r="B6" i="11"/>
  <c r="X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B3" i="11"/>
  <c r="J3" i="11" s="1"/>
  <c r="Q2" i="11"/>
  <c r="N2" i="11"/>
  <c r="I2" i="11"/>
  <c r="B2" i="11"/>
  <c r="G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Y15" i="10"/>
  <c r="W15" i="10"/>
  <c r="V15" i="10"/>
  <c r="U15" i="10"/>
  <c r="T15" i="10"/>
  <c r="R15" i="10"/>
  <c r="Q15" i="10"/>
  <c r="P15" i="10"/>
  <c r="O15" i="10"/>
  <c r="N15" i="10"/>
  <c r="M15" i="10"/>
  <c r="H15" i="10"/>
  <c r="G15" i="10"/>
  <c r="F15" i="10"/>
  <c r="E15" i="10"/>
  <c r="D15" i="10"/>
  <c r="B15" i="10"/>
  <c r="AA15" i="10" s="1"/>
  <c r="W14" i="10"/>
  <c r="V14" i="10"/>
  <c r="T14" i="10"/>
  <c r="R14" i="10"/>
  <c r="Q14" i="10"/>
  <c r="P14" i="10"/>
  <c r="O14" i="10"/>
  <c r="J14" i="10"/>
  <c r="H14" i="10"/>
  <c r="G14" i="10"/>
  <c r="B14" i="10"/>
  <c r="Y14" i="10" s="1"/>
  <c r="D13" i="10"/>
  <c r="B13" i="10"/>
  <c r="Z13" i="10" s="1"/>
  <c r="AA12" i="10"/>
  <c r="Z12" i="10"/>
  <c r="B12" i="10"/>
  <c r="AB12" i="10" s="1"/>
  <c r="C11" i="10"/>
  <c r="B11" i="10"/>
  <c r="B10" i="10"/>
  <c r="B9" i="10"/>
  <c r="B8" i="10"/>
  <c r="C8" i="10" s="1"/>
  <c r="X7" i="10"/>
  <c r="B7" i="10"/>
  <c r="AA6" i="10"/>
  <c r="R6" i="10"/>
  <c r="O6" i="10"/>
  <c r="L6" i="10"/>
  <c r="J6" i="10"/>
  <c r="B6" i="10"/>
  <c r="H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B3" i="10"/>
  <c r="Q3" i="10" s="1"/>
  <c r="V2" i="10"/>
  <c r="P2" i="10"/>
  <c r="M2" i="10"/>
  <c r="F2" i="10"/>
  <c r="E2" i="10"/>
  <c r="C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AA17" i="9"/>
  <c r="X17" i="9"/>
  <c r="W17" i="9"/>
  <c r="U17" i="9"/>
  <c r="T17" i="9"/>
  <c r="S17" i="9"/>
  <c r="R17" i="9"/>
  <c r="Q17" i="9"/>
  <c r="P17" i="9"/>
  <c r="O17" i="9"/>
  <c r="M17" i="9"/>
  <c r="K17" i="9"/>
  <c r="J17" i="9"/>
  <c r="G17" i="9"/>
  <c r="F17" i="9"/>
  <c r="E17" i="9"/>
  <c r="B17" i="9"/>
  <c r="Z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K15" i="9"/>
  <c r="B15" i="9"/>
  <c r="AA15" i="9" s="1"/>
  <c r="R14" i="9"/>
  <c r="N14" i="9"/>
  <c r="M14" i="9"/>
  <c r="L14" i="9"/>
  <c r="K14" i="9"/>
  <c r="B14" i="9"/>
  <c r="Y14" i="9" s="1"/>
  <c r="B13" i="9"/>
  <c r="AA13" i="9" s="1"/>
  <c r="AB12" i="9"/>
  <c r="AA12" i="9"/>
  <c r="Z12" i="9"/>
  <c r="U12" i="9"/>
  <c r="O12" i="9"/>
  <c r="J12" i="9"/>
  <c r="H12" i="9"/>
  <c r="E12" i="9"/>
  <c r="B12" i="9"/>
  <c r="S12" i="9" s="1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Y8" i="9"/>
  <c r="O8" i="9"/>
  <c r="N8" i="9"/>
  <c r="F8" i="9"/>
  <c r="E8" i="9"/>
  <c r="B8" i="9"/>
  <c r="AA7" i="9"/>
  <c r="X7" i="9"/>
  <c r="W7" i="9"/>
  <c r="V7" i="9"/>
  <c r="B7" i="9"/>
  <c r="I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K3" i="9"/>
  <c r="F3" i="9"/>
  <c r="C3" i="9"/>
  <c r="B3" i="9"/>
  <c r="Y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P15" i="8"/>
  <c r="O15" i="8"/>
  <c r="N15" i="8"/>
  <c r="M15" i="8"/>
  <c r="B15" i="8"/>
  <c r="I15" i="8" s="1"/>
  <c r="Y14" i="8"/>
  <c r="V14" i="8"/>
  <c r="U14" i="8"/>
  <c r="T14" i="8"/>
  <c r="S14" i="8"/>
  <c r="R14" i="8"/>
  <c r="Q14" i="8"/>
  <c r="P14" i="8"/>
  <c r="O14" i="8"/>
  <c r="N14" i="8"/>
  <c r="I14" i="8"/>
  <c r="H14" i="8"/>
  <c r="G14" i="8"/>
  <c r="F14" i="8"/>
  <c r="E14" i="8"/>
  <c r="B14" i="8"/>
  <c r="W14" i="8" s="1"/>
  <c r="X13" i="8"/>
  <c r="W13" i="8"/>
  <c r="U13" i="8"/>
  <c r="S13" i="8"/>
  <c r="R13" i="8"/>
  <c r="Q13" i="8"/>
  <c r="O13" i="8"/>
  <c r="J13" i="8"/>
  <c r="H13" i="8"/>
  <c r="G13" i="8"/>
  <c r="B13" i="8"/>
  <c r="P13" i="8" s="1"/>
  <c r="V12" i="8"/>
  <c r="U12" i="8"/>
  <c r="S12" i="8"/>
  <c r="R12" i="8"/>
  <c r="B12" i="8"/>
  <c r="T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M8" i="8"/>
  <c r="L8" i="8"/>
  <c r="B8" i="8"/>
  <c r="Z8" i="8" s="1"/>
  <c r="Y7" i="8"/>
  <c r="U7" i="8"/>
  <c r="T7" i="8"/>
  <c r="S7" i="8"/>
  <c r="B7" i="8"/>
  <c r="W7" i="8" s="1"/>
  <c r="E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V3" i="8"/>
  <c r="S3" i="8"/>
  <c r="R3" i="8"/>
  <c r="Q3" i="8"/>
  <c r="P3" i="8"/>
  <c r="O3" i="8"/>
  <c r="N3" i="8"/>
  <c r="M3" i="8"/>
  <c r="L3" i="8"/>
  <c r="K3" i="8"/>
  <c r="I3" i="8"/>
  <c r="H3" i="8"/>
  <c r="G3" i="8"/>
  <c r="E3" i="8"/>
  <c r="D3" i="8"/>
  <c r="C3" i="8"/>
  <c r="B3" i="8"/>
  <c r="J3" i="8" s="1"/>
  <c r="AA2" i="8"/>
  <c r="Z2" i="8"/>
  <c r="W2" i="8"/>
  <c r="R2" i="8"/>
  <c r="P2" i="8"/>
  <c r="N2" i="8"/>
  <c r="G2" i="8"/>
  <c r="F2" i="8"/>
  <c r="C2" i="8"/>
  <c r="B2" i="8"/>
  <c r="O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B17" i="7"/>
  <c r="G17" i="7" s="1"/>
  <c r="N16" i="7"/>
  <c r="M16" i="7"/>
  <c r="L16" i="7"/>
  <c r="J16" i="7"/>
  <c r="H16" i="7"/>
  <c r="G16" i="7"/>
  <c r="B16" i="7"/>
  <c r="AA16" i="7" s="1"/>
  <c r="M15" i="7"/>
  <c r="L15" i="7"/>
  <c r="K15" i="7"/>
  <c r="J15" i="7"/>
  <c r="B15" i="7"/>
  <c r="Y15" i="7" s="1"/>
  <c r="U14" i="7"/>
  <c r="T14" i="7"/>
  <c r="N14" i="7"/>
  <c r="M14" i="7"/>
  <c r="L14" i="7"/>
  <c r="J14" i="7"/>
  <c r="B14" i="7"/>
  <c r="AB14" i="7" s="1"/>
  <c r="AB13" i="7"/>
  <c r="AA13" i="7"/>
  <c r="X13" i="7"/>
  <c r="T13" i="7"/>
  <c r="S13" i="7"/>
  <c r="R13" i="7"/>
  <c r="Q13" i="7"/>
  <c r="O13" i="7"/>
  <c r="M13" i="7"/>
  <c r="K13" i="7"/>
  <c r="J13" i="7"/>
  <c r="I13" i="7"/>
  <c r="H13" i="7"/>
  <c r="F13" i="7"/>
  <c r="E13" i="7"/>
  <c r="B13" i="7"/>
  <c r="W13" i="7" s="1"/>
  <c r="B12" i="7"/>
  <c r="K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Z8" i="7"/>
  <c r="Y8" i="7"/>
  <c r="W8" i="7"/>
  <c r="V8" i="7"/>
  <c r="L8" i="7"/>
  <c r="D8" i="7"/>
  <c r="B8" i="7"/>
  <c r="AB8" i="7" s="1"/>
  <c r="AA7" i="7"/>
  <c r="Z7" i="7"/>
  <c r="Y7" i="7"/>
  <c r="W7" i="7"/>
  <c r="O7" i="7"/>
  <c r="N7" i="7"/>
  <c r="F7" i="7"/>
  <c r="E7" i="7"/>
  <c r="C7" i="7"/>
  <c r="B7" i="7"/>
  <c r="AB6" i="7"/>
  <c r="Z6" i="7"/>
  <c r="X6" i="7"/>
  <c r="W6" i="7"/>
  <c r="Q6" i="7"/>
  <c r="P6" i="7"/>
  <c r="O6" i="7"/>
  <c r="N6" i="7"/>
  <c r="B6" i="7"/>
  <c r="I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B3" i="7"/>
  <c r="N3" i="7" s="1"/>
  <c r="Z2" i="7"/>
  <c r="S2" i="7"/>
  <c r="O2" i="7"/>
  <c r="N2" i="7"/>
  <c r="M2" i="7"/>
  <c r="L2" i="7"/>
  <c r="K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A17" i="6"/>
  <c r="V17" i="6"/>
  <c r="U17" i="6"/>
  <c r="T17" i="6"/>
  <c r="S17" i="6"/>
  <c r="J17" i="6"/>
  <c r="B17" i="6"/>
  <c r="C17" i="6" s="1"/>
  <c r="E16" i="6"/>
  <c r="D16" i="6"/>
  <c r="C16" i="6"/>
  <c r="B16" i="6"/>
  <c r="Y15" i="6"/>
  <c r="B15" i="6"/>
  <c r="Q15" i="6" s="1"/>
  <c r="AB14" i="6"/>
  <c r="B14" i="6"/>
  <c r="O14" i="6" s="1"/>
  <c r="Y13" i="6"/>
  <c r="Q13" i="6"/>
  <c r="O13" i="6"/>
  <c r="N13" i="6"/>
  <c r="M13" i="6"/>
  <c r="B13" i="6"/>
  <c r="AB12" i="6"/>
  <c r="Y12" i="6"/>
  <c r="V12" i="6"/>
  <c r="T12" i="6"/>
  <c r="S12" i="6"/>
  <c r="R12" i="6"/>
  <c r="P12" i="6"/>
  <c r="B12" i="6"/>
  <c r="W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B8" i="6"/>
  <c r="AB8" i="6" s="1"/>
  <c r="B7" i="6"/>
  <c r="J7" i="6" s="1"/>
  <c r="AB6" i="6"/>
  <c r="AA6" i="6"/>
  <c r="L6" i="6"/>
  <c r="K6" i="6"/>
  <c r="J6" i="6"/>
  <c r="I6" i="6"/>
  <c r="E6" i="6"/>
  <c r="B6" i="6"/>
  <c r="M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B3" i="6"/>
  <c r="AA3" i="6" s="1"/>
  <c r="B2" i="6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X17" i="5"/>
  <c r="W17" i="5"/>
  <c r="V17" i="5"/>
  <c r="U17" i="5"/>
  <c r="T17" i="5"/>
  <c r="S17" i="5"/>
  <c r="R17" i="5"/>
  <c r="Q17" i="5"/>
  <c r="P17" i="5"/>
  <c r="O17" i="5"/>
  <c r="L17" i="5"/>
  <c r="K17" i="5"/>
  <c r="B17" i="5"/>
  <c r="J17" i="5" s="1"/>
  <c r="B16" i="5"/>
  <c r="Y15" i="5"/>
  <c r="Q15" i="5"/>
  <c r="M15" i="5"/>
  <c r="L15" i="5"/>
  <c r="K15" i="5"/>
  <c r="J15" i="5"/>
  <c r="B15" i="5"/>
  <c r="W15" i="5" s="1"/>
  <c r="B14" i="5"/>
  <c r="D14" i="5" s="1"/>
  <c r="Y13" i="5"/>
  <c r="R13" i="5"/>
  <c r="M13" i="5"/>
  <c r="K13" i="5"/>
  <c r="J13" i="5"/>
  <c r="B13" i="5"/>
  <c r="AB13" i="5" s="1"/>
  <c r="H12" i="5"/>
  <c r="G12" i="5"/>
  <c r="B12" i="5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B7" i="5"/>
  <c r="D7" i="5" s="1"/>
  <c r="Z6" i="5"/>
  <c r="X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B3" i="5"/>
  <c r="W3" i="5" s="1"/>
  <c r="B2" i="5"/>
  <c r="F2" i="5" s="1"/>
  <c r="B2" i="1"/>
  <c r="J3" i="10" l="1"/>
  <c r="E12" i="14"/>
  <c r="AB7" i="15"/>
  <c r="M3" i="5"/>
  <c r="D15" i="6"/>
  <c r="F2" i="14"/>
  <c r="Q3" i="5"/>
  <c r="N7" i="5"/>
  <c r="X13" i="5"/>
  <c r="N15" i="5"/>
  <c r="L3" i="6"/>
  <c r="C8" i="6"/>
  <c r="U12" i="6"/>
  <c r="E14" i="6"/>
  <c r="E15" i="6"/>
  <c r="W17" i="6"/>
  <c r="G3" i="7"/>
  <c r="G7" i="7"/>
  <c r="I7" i="7"/>
  <c r="AB7" i="7"/>
  <c r="AA8" i="7"/>
  <c r="F12" i="7"/>
  <c r="O14" i="7"/>
  <c r="N15" i="7"/>
  <c r="E17" i="7"/>
  <c r="Z7" i="8"/>
  <c r="W12" i="8"/>
  <c r="T13" i="8"/>
  <c r="U15" i="8"/>
  <c r="AB7" i="9"/>
  <c r="C13" i="9"/>
  <c r="O14" i="9"/>
  <c r="W2" i="10"/>
  <c r="N2" i="10"/>
  <c r="Y6" i="10"/>
  <c r="H13" i="10"/>
  <c r="S14" i="10"/>
  <c r="C3" i="11"/>
  <c r="E6" i="11"/>
  <c r="L7" i="11"/>
  <c r="Q8" i="11"/>
  <c r="M14" i="11"/>
  <c r="C17" i="11"/>
  <c r="Y7" i="12"/>
  <c r="H12" i="12"/>
  <c r="K15" i="12"/>
  <c r="T17" i="12"/>
  <c r="W7" i="13"/>
  <c r="S13" i="13"/>
  <c r="X15" i="13"/>
  <c r="F15" i="13"/>
  <c r="AB15" i="13"/>
  <c r="D15" i="13"/>
  <c r="Q15" i="13"/>
  <c r="N15" i="13"/>
  <c r="G2" i="14"/>
  <c r="S3" i="14"/>
  <c r="G6" i="14"/>
  <c r="M7" i="14"/>
  <c r="E13" i="14"/>
  <c r="Q15" i="14"/>
  <c r="L2" i="15"/>
  <c r="U3" i="15"/>
  <c r="C7" i="15"/>
  <c r="E14" i="15"/>
  <c r="C12" i="16"/>
  <c r="H7" i="17"/>
  <c r="G7" i="17"/>
  <c r="S3" i="5"/>
  <c r="U7" i="5"/>
  <c r="O15" i="5"/>
  <c r="M3" i="6"/>
  <c r="D8" i="6"/>
  <c r="F14" i="6"/>
  <c r="F15" i="6"/>
  <c r="X17" i="6"/>
  <c r="H3" i="7"/>
  <c r="G12" i="7"/>
  <c r="Q14" i="7"/>
  <c r="P15" i="7"/>
  <c r="F17" i="7"/>
  <c r="M13" i="10"/>
  <c r="D3" i="11"/>
  <c r="G6" i="11"/>
  <c r="M7" i="11"/>
  <c r="R8" i="11"/>
  <c r="N14" i="11"/>
  <c r="D17" i="11"/>
  <c r="Z7" i="12"/>
  <c r="Z12" i="12"/>
  <c r="M15" i="12"/>
  <c r="AB6" i="13"/>
  <c r="K6" i="13"/>
  <c r="X7" i="13"/>
  <c r="AB12" i="13"/>
  <c r="V12" i="13"/>
  <c r="T12" i="13"/>
  <c r="D12" i="13"/>
  <c r="T13" i="13"/>
  <c r="C15" i="13"/>
  <c r="L2" i="14"/>
  <c r="T3" i="14"/>
  <c r="H6" i="14"/>
  <c r="N7" i="14"/>
  <c r="G13" i="14"/>
  <c r="S15" i="14"/>
  <c r="M2" i="15"/>
  <c r="W3" i="15"/>
  <c r="D7" i="15"/>
  <c r="M14" i="15"/>
  <c r="K7" i="17"/>
  <c r="AA15" i="6"/>
  <c r="AB12" i="16"/>
  <c r="X12" i="16"/>
  <c r="K12" i="16"/>
  <c r="I12" i="16"/>
  <c r="X8" i="7"/>
  <c r="F8" i="7"/>
  <c r="X12" i="8"/>
  <c r="Y15" i="8"/>
  <c r="W8" i="9"/>
  <c r="S8" i="9"/>
  <c r="D13" i="9"/>
  <c r="P14" i="9"/>
  <c r="T3" i="5"/>
  <c r="V7" i="5"/>
  <c r="Z13" i="5"/>
  <c r="P15" i="5"/>
  <c r="O3" i="6"/>
  <c r="E8" i="6"/>
  <c r="H14" i="6"/>
  <c r="G15" i="6"/>
  <c r="Z17" i="6"/>
  <c r="J3" i="7"/>
  <c r="D7" i="7"/>
  <c r="C8" i="7"/>
  <c r="H12" i="7"/>
  <c r="S14" i="7"/>
  <c r="Q15" i="7"/>
  <c r="D2" i="8"/>
  <c r="H8" i="8"/>
  <c r="Y12" i="8"/>
  <c r="V13" i="8"/>
  <c r="AA15" i="8"/>
  <c r="C8" i="9"/>
  <c r="M13" i="9"/>
  <c r="Q14" i="9"/>
  <c r="D2" i="10"/>
  <c r="P13" i="10"/>
  <c r="U14" i="10"/>
  <c r="E3" i="11"/>
  <c r="H6" i="11"/>
  <c r="O7" i="11"/>
  <c r="K13" i="11"/>
  <c r="O14" i="11"/>
  <c r="J17" i="11"/>
  <c r="AA7" i="12"/>
  <c r="AA12" i="12"/>
  <c r="N15" i="12"/>
  <c r="G6" i="13"/>
  <c r="H12" i="13"/>
  <c r="U13" i="13"/>
  <c r="E15" i="13"/>
  <c r="M2" i="14"/>
  <c r="V3" i="14"/>
  <c r="K6" i="14"/>
  <c r="O7" i="14"/>
  <c r="K13" i="14"/>
  <c r="T15" i="14"/>
  <c r="N2" i="15"/>
  <c r="E7" i="15"/>
  <c r="N14" i="15"/>
  <c r="Y12" i="16"/>
  <c r="O7" i="17"/>
  <c r="F3" i="7"/>
  <c r="F13" i="10"/>
  <c r="I14" i="6"/>
  <c r="I6" i="11"/>
  <c r="O17" i="11"/>
  <c r="V13" i="13"/>
  <c r="O2" i="14"/>
  <c r="L6" i="14"/>
  <c r="P7" i="14"/>
  <c r="N13" i="14"/>
  <c r="O2" i="15"/>
  <c r="F7" i="15"/>
  <c r="P13" i="15"/>
  <c r="K13" i="15"/>
  <c r="I13" i="15"/>
  <c r="H13" i="15"/>
  <c r="AA13" i="15"/>
  <c r="Z13" i="15"/>
  <c r="T13" i="15"/>
  <c r="C15" i="15"/>
  <c r="AA15" i="15"/>
  <c r="V15" i="15"/>
  <c r="Z2" i="17"/>
  <c r="W2" i="17"/>
  <c r="I2" i="17"/>
  <c r="G2" i="17"/>
  <c r="F2" i="17"/>
  <c r="S7" i="17"/>
  <c r="AB17" i="17"/>
  <c r="Z17" i="17"/>
  <c r="Y17" i="17"/>
  <c r="W17" i="17"/>
  <c r="U17" i="17"/>
  <c r="O17" i="17"/>
  <c r="M17" i="17"/>
  <c r="L17" i="17"/>
  <c r="AB17" i="7"/>
  <c r="D17" i="7"/>
  <c r="H15" i="6"/>
  <c r="H3" i="11"/>
  <c r="O14" i="5"/>
  <c r="P17" i="11"/>
  <c r="P2" i="14"/>
  <c r="R13" i="14"/>
  <c r="H7" i="15"/>
  <c r="Z6" i="16"/>
  <c r="S6" i="16"/>
  <c r="O6" i="16"/>
  <c r="N6" i="16"/>
  <c r="K6" i="16"/>
  <c r="G6" i="16"/>
  <c r="F6" i="16"/>
  <c r="U7" i="17"/>
  <c r="AA7" i="19"/>
  <c r="U7" i="19"/>
  <c r="R7" i="19"/>
  <c r="M7" i="19"/>
  <c r="H7" i="19"/>
  <c r="G7" i="19"/>
  <c r="F7" i="19"/>
  <c r="C7" i="19"/>
  <c r="F3" i="6"/>
  <c r="R15" i="5"/>
  <c r="I15" i="6"/>
  <c r="S15" i="7"/>
  <c r="I17" i="7"/>
  <c r="S13" i="9"/>
  <c r="S14" i="9"/>
  <c r="V14" i="5"/>
  <c r="AB13" i="6"/>
  <c r="P13" i="6"/>
  <c r="K14" i="6"/>
  <c r="J15" i="6"/>
  <c r="M3" i="7"/>
  <c r="H7" i="7"/>
  <c r="G8" i="7"/>
  <c r="M12" i="7"/>
  <c r="V14" i="7"/>
  <c r="T15" i="7"/>
  <c r="J17" i="7"/>
  <c r="H2" i="8"/>
  <c r="Q8" i="8"/>
  <c r="AB12" i="8"/>
  <c r="AA13" i="8"/>
  <c r="G3" i="9"/>
  <c r="D7" i="9"/>
  <c r="G8" i="9"/>
  <c r="W13" i="9"/>
  <c r="T14" i="9"/>
  <c r="G2" i="10"/>
  <c r="AA13" i="10"/>
  <c r="K3" i="11"/>
  <c r="L6" i="11"/>
  <c r="S7" i="11"/>
  <c r="Q13" i="11"/>
  <c r="R14" i="11"/>
  <c r="K14" i="12"/>
  <c r="Q15" i="12"/>
  <c r="M6" i="13"/>
  <c r="L12" i="13"/>
  <c r="Y13" i="13"/>
  <c r="I15" i="13"/>
  <c r="E17" i="13"/>
  <c r="R2" i="14"/>
  <c r="Z3" i="14"/>
  <c r="N6" i="14"/>
  <c r="S7" i="14"/>
  <c r="W15" i="14"/>
  <c r="R2" i="15"/>
  <c r="G6" i="15"/>
  <c r="L6" i="15"/>
  <c r="J6" i="15"/>
  <c r="X6" i="15"/>
  <c r="W6" i="15"/>
  <c r="T6" i="15"/>
  <c r="J7" i="15"/>
  <c r="D13" i="15"/>
  <c r="G15" i="15"/>
  <c r="E6" i="16"/>
  <c r="L2" i="17"/>
  <c r="X7" i="17"/>
  <c r="Q17" i="17"/>
  <c r="L7" i="19"/>
  <c r="C3" i="6"/>
  <c r="Z15" i="6"/>
  <c r="AB15" i="6"/>
  <c r="AB13" i="14"/>
  <c r="S13" i="14"/>
  <c r="Q13" i="14"/>
  <c r="K3" i="7"/>
  <c r="R15" i="7"/>
  <c r="H17" i="7"/>
  <c r="Q13" i="9"/>
  <c r="N17" i="6"/>
  <c r="H17" i="6"/>
  <c r="AB17" i="6"/>
  <c r="L3" i="7"/>
  <c r="E8" i="7"/>
  <c r="I3" i="11"/>
  <c r="K6" i="11"/>
  <c r="I8" i="6"/>
  <c r="U3" i="6"/>
  <c r="J8" i="6"/>
  <c r="G13" i="6"/>
  <c r="L14" i="6"/>
  <c r="K15" i="6"/>
  <c r="D17" i="6"/>
  <c r="J7" i="7"/>
  <c r="N12" i="7"/>
  <c r="X14" i="10"/>
  <c r="AB14" i="10"/>
  <c r="E14" i="10"/>
  <c r="Z14" i="10"/>
  <c r="L3" i="11"/>
  <c r="T7" i="11"/>
  <c r="L14" i="12"/>
  <c r="R15" i="12"/>
  <c r="U14" i="13"/>
  <c r="E14" i="13"/>
  <c r="R14" i="13"/>
  <c r="O14" i="13"/>
  <c r="J15" i="13"/>
  <c r="O6" i="14"/>
  <c r="W7" i="14"/>
  <c r="Y15" i="14"/>
  <c r="S2" i="15"/>
  <c r="K7" i="15"/>
  <c r="E13" i="15"/>
  <c r="I15" i="15"/>
  <c r="AB2" i="16"/>
  <c r="W2" i="16"/>
  <c r="U2" i="16"/>
  <c r="P2" i="16"/>
  <c r="H6" i="16"/>
  <c r="Y7" i="17"/>
  <c r="R17" i="17"/>
  <c r="X3" i="7"/>
  <c r="P3" i="7"/>
  <c r="Q2" i="14"/>
  <c r="E2" i="14"/>
  <c r="Y2" i="14"/>
  <c r="U2" i="14"/>
  <c r="C6" i="11"/>
  <c r="Z12" i="8"/>
  <c r="Q8" i="10"/>
  <c r="Z8" i="10"/>
  <c r="M6" i="14"/>
  <c r="Z7" i="5"/>
  <c r="S15" i="5"/>
  <c r="S3" i="6"/>
  <c r="AA7" i="5"/>
  <c r="W14" i="5"/>
  <c r="T15" i="5"/>
  <c r="X14" i="7"/>
  <c r="U15" i="7"/>
  <c r="K17" i="7"/>
  <c r="I2" i="8"/>
  <c r="I12" i="11"/>
  <c r="Y12" i="11"/>
  <c r="Y2" i="7"/>
  <c r="H2" i="7"/>
  <c r="O3" i="7"/>
  <c r="H6" i="7"/>
  <c r="K7" i="7"/>
  <c r="I8" i="7"/>
  <c r="O12" i="7"/>
  <c r="F6" i="8"/>
  <c r="T8" i="8"/>
  <c r="C13" i="8"/>
  <c r="X14" i="8"/>
  <c r="M14" i="8"/>
  <c r="Z14" i="8"/>
  <c r="O3" i="9"/>
  <c r="G7" i="9"/>
  <c r="K8" i="9"/>
  <c r="Y13" i="9"/>
  <c r="V14" i="9"/>
  <c r="J2" i="10"/>
  <c r="I8" i="10"/>
  <c r="C14" i="10"/>
  <c r="AA14" i="10"/>
  <c r="M3" i="11"/>
  <c r="P6" i="11"/>
  <c r="U7" i="11"/>
  <c r="C12" i="11"/>
  <c r="U13" i="11"/>
  <c r="V14" i="11"/>
  <c r="Q14" i="12"/>
  <c r="S15" i="12"/>
  <c r="P6" i="13"/>
  <c r="O12" i="13"/>
  <c r="F14" i="13"/>
  <c r="K15" i="13"/>
  <c r="X2" i="14"/>
  <c r="P6" i="14"/>
  <c r="Y7" i="14"/>
  <c r="R14" i="14"/>
  <c r="Z15" i="14"/>
  <c r="Y2" i="15"/>
  <c r="E6" i="15"/>
  <c r="L7" i="15"/>
  <c r="F13" i="15"/>
  <c r="K15" i="15"/>
  <c r="D2" i="16"/>
  <c r="I6" i="16"/>
  <c r="X17" i="17"/>
  <c r="J12" i="7"/>
  <c r="Y13" i="10"/>
  <c r="AA12" i="8"/>
  <c r="AB13" i="8"/>
  <c r="U14" i="9"/>
  <c r="O6" i="11"/>
  <c r="AB7" i="5"/>
  <c r="Y14" i="5"/>
  <c r="U15" i="5"/>
  <c r="V3" i="6"/>
  <c r="U8" i="6"/>
  <c r="H13" i="6"/>
  <c r="M14" i="6"/>
  <c r="L15" i="6"/>
  <c r="E17" i="6"/>
  <c r="Y14" i="7"/>
  <c r="V15" i="7"/>
  <c r="L17" i="7"/>
  <c r="K2" i="8"/>
  <c r="Z14" i="5"/>
  <c r="V15" i="5"/>
  <c r="W3" i="6"/>
  <c r="I13" i="6"/>
  <c r="N14" i="6"/>
  <c r="M15" i="6"/>
  <c r="F17" i="6"/>
  <c r="G2" i="7"/>
  <c r="S3" i="7"/>
  <c r="L7" i="7"/>
  <c r="J8" i="7"/>
  <c r="P12" i="7"/>
  <c r="V13" i="7"/>
  <c r="AA14" i="7"/>
  <c r="W15" i="7"/>
  <c r="M17" i="7"/>
  <c r="L2" i="8"/>
  <c r="O6" i="8"/>
  <c r="V8" i="8"/>
  <c r="E13" i="8"/>
  <c r="C14" i="8"/>
  <c r="AA14" i="8"/>
  <c r="S3" i="9"/>
  <c r="L8" i="9"/>
  <c r="C12" i="9"/>
  <c r="Z13" i="9"/>
  <c r="W14" i="9"/>
  <c r="K2" i="10"/>
  <c r="K8" i="10"/>
  <c r="D14" i="10"/>
  <c r="X15" i="10"/>
  <c r="Z15" i="10"/>
  <c r="AB15" i="10"/>
  <c r="P3" i="11"/>
  <c r="Q6" i="11"/>
  <c r="V7" i="11"/>
  <c r="E12" i="11"/>
  <c r="V13" i="11"/>
  <c r="W14" i="11"/>
  <c r="F6" i="12"/>
  <c r="R14" i="12"/>
  <c r="T15" i="12"/>
  <c r="Z6" i="13"/>
  <c r="R12" i="13"/>
  <c r="H14" i="13"/>
  <c r="L15" i="13"/>
  <c r="Z2" i="14"/>
  <c r="Q6" i="14"/>
  <c r="S14" i="14"/>
  <c r="Z2" i="15"/>
  <c r="I6" i="15"/>
  <c r="M7" i="15"/>
  <c r="G13" i="15"/>
  <c r="S15" i="15"/>
  <c r="K2" i="16"/>
  <c r="J6" i="16"/>
  <c r="AB14" i="16"/>
  <c r="Y14" i="16"/>
  <c r="J14" i="16"/>
  <c r="C14" i="16"/>
  <c r="AA17" i="17"/>
  <c r="I7" i="5"/>
  <c r="K3" i="6"/>
  <c r="D14" i="6"/>
  <c r="Y7" i="9"/>
  <c r="S7" i="9"/>
  <c r="V3" i="5"/>
  <c r="Y7" i="5"/>
  <c r="Q3" i="6"/>
  <c r="H8" i="6"/>
  <c r="J14" i="6"/>
  <c r="L12" i="7"/>
  <c r="C7" i="9"/>
  <c r="AA6" i="7"/>
  <c r="F6" i="7"/>
  <c r="H8" i="7"/>
  <c r="R8" i="8"/>
  <c r="F7" i="9"/>
  <c r="I8" i="9"/>
  <c r="X13" i="9"/>
  <c r="H2" i="10"/>
  <c r="G8" i="10"/>
  <c r="T14" i="11"/>
  <c r="AA14" i="5"/>
  <c r="X3" i="6"/>
  <c r="K13" i="6"/>
  <c r="N15" i="6"/>
  <c r="G17" i="6"/>
  <c r="I2" i="7"/>
  <c r="T3" i="7"/>
  <c r="K6" i="7"/>
  <c r="M7" i="7"/>
  <c r="K8" i="7"/>
  <c r="R12" i="7"/>
  <c r="Q17" i="7"/>
  <c r="M2" i="8"/>
  <c r="P6" i="8"/>
  <c r="F13" i="8"/>
  <c r="D14" i="8"/>
  <c r="AB14" i="8"/>
  <c r="J7" i="9"/>
  <c r="M8" i="9"/>
  <c r="D12" i="9"/>
  <c r="L2" i="10"/>
  <c r="N8" i="10"/>
  <c r="F14" i="10"/>
  <c r="C15" i="10"/>
  <c r="Q3" i="11"/>
  <c r="R6" i="11"/>
  <c r="W7" i="11"/>
  <c r="F12" i="11"/>
  <c r="Y13" i="11"/>
  <c r="X14" i="11"/>
  <c r="V14" i="12"/>
  <c r="V15" i="12"/>
  <c r="AA6" i="13"/>
  <c r="S12" i="13"/>
  <c r="J14" i="13"/>
  <c r="M15" i="13"/>
  <c r="AA2" i="14"/>
  <c r="R6" i="14"/>
  <c r="AB14" i="14"/>
  <c r="AA2" i="15"/>
  <c r="K6" i="15"/>
  <c r="N7" i="15"/>
  <c r="U12" i="15"/>
  <c r="M12" i="15"/>
  <c r="K12" i="15"/>
  <c r="J12" i="15"/>
  <c r="AA12" i="15"/>
  <c r="Z12" i="15"/>
  <c r="V12" i="15"/>
  <c r="J13" i="15"/>
  <c r="T15" i="15"/>
  <c r="Q2" i="16"/>
  <c r="L6" i="16"/>
  <c r="F14" i="16"/>
  <c r="X12" i="17"/>
  <c r="J12" i="17"/>
  <c r="I12" i="17"/>
  <c r="G12" i="17"/>
  <c r="E12" i="17"/>
  <c r="D12" i="17"/>
  <c r="AB12" i="17"/>
  <c r="W12" i="17"/>
  <c r="V12" i="17"/>
  <c r="U12" i="17"/>
  <c r="R12" i="17"/>
  <c r="Q12" i="17"/>
  <c r="U14" i="6"/>
  <c r="R14" i="6"/>
  <c r="C12" i="7"/>
  <c r="N3" i="5"/>
  <c r="X15" i="7"/>
  <c r="O15" i="7"/>
  <c r="X14" i="9"/>
  <c r="AB14" i="9"/>
  <c r="E14" i="9"/>
  <c r="Z14" i="9"/>
  <c r="AB8" i="10"/>
  <c r="R3" i="11"/>
  <c r="T6" i="11"/>
  <c r="X7" i="11"/>
  <c r="AA14" i="11"/>
  <c r="W14" i="12"/>
  <c r="Y15" i="12"/>
  <c r="Y7" i="13"/>
  <c r="L7" i="13"/>
  <c r="H7" i="13"/>
  <c r="Z7" i="13"/>
  <c r="U12" i="13"/>
  <c r="K14" i="13"/>
  <c r="O15" i="13"/>
  <c r="AB2" i="14"/>
  <c r="T6" i="14"/>
  <c r="X15" i="14"/>
  <c r="R15" i="14"/>
  <c r="P15" i="14"/>
  <c r="G15" i="14"/>
  <c r="AA15" i="14"/>
  <c r="D15" i="14"/>
  <c r="AB2" i="15"/>
  <c r="O7" i="15"/>
  <c r="L13" i="15"/>
  <c r="U15" i="15"/>
  <c r="T2" i="16"/>
  <c r="M6" i="16"/>
  <c r="O15" i="6"/>
  <c r="X15" i="5"/>
  <c r="I15" i="5"/>
  <c r="C15" i="7"/>
  <c r="AA15" i="7"/>
  <c r="T17" i="7"/>
  <c r="E15" i="8"/>
  <c r="M7" i="9"/>
  <c r="C14" i="9"/>
  <c r="AA14" i="9"/>
  <c r="S3" i="11"/>
  <c r="U6" i="11"/>
  <c r="Z7" i="11"/>
  <c r="AB14" i="11"/>
  <c r="X14" i="12"/>
  <c r="Z15" i="12"/>
  <c r="J3" i="14"/>
  <c r="G3" i="14"/>
  <c r="X3" i="14"/>
  <c r="U3" i="14"/>
  <c r="X6" i="14"/>
  <c r="C15" i="14"/>
  <c r="P3" i="15"/>
  <c r="G3" i="15"/>
  <c r="E3" i="15"/>
  <c r="Y3" i="15"/>
  <c r="X3" i="15"/>
  <c r="T3" i="15"/>
  <c r="N6" i="15"/>
  <c r="P7" i="15"/>
  <c r="M13" i="15"/>
  <c r="X15" i="15"/>
  <c r="X2" i="16"/>
  <c r="Q6" i="16"/>
  <c r="C14" i="6"/>
  <c r="AB14" i="15"/>
  <c r="O14" i="15"/>
  <c r="X12" i="6"/>
  <c r="J12" i="6"/>
  <c r="S14" i="6"/>
  <c r="R15" i="6"/>
  <c r="L17" i="6"/>
  <c r="Z3" i="7"/>
  <c r="P7" i="7"/>
  <c r="N8" i="7"/>
  <c r="V12" i="7"/>
  <c r="D15" i="7"/>
  <c r="AB15" i="7"/>
  <c r="U17" i="7"/>
  <c r="Q2" i="8"/>
  <c r="J7" i="8"/>
  <c r="D12" i="8"/>
  <c r="I13" i="8"/>
  <c r="F15" i="8"/>
  <c r="N7" i="9"/>
  <c r="P8" i="9"/>
  <c r="D14" i="9"/>
  <c r="U2" i="10"/>
  <c r="I14" i="10"/>
  <c r="U3" i="11"/>
  <c r="AA7" i="11"/>
  <c r="K12" i="11"/>
  <c r="AB13" i="11"/>
  <c r="E7" i="12"/>
  <c r="AB14" i="12"/>
  <c r="AA15" i="12"/>
  <c r="D7" i="13"/>
  <c r="X12" i="13"/>
  <c r="M14" i="13"/>
  <c r="R15" i="13"/>
  <c r="C3" i="14"/>
  <c r="Z6" i="14"/>
  <c r="E15" i="14"/>
  <c r="C3" i="15"/>
  <c r="R7" i="15"/>
  <c r="N13" i="15"/>
  <c r="Y15" i="15"/>
  <c r="Y2" i="16"/>
  <c r="T6" i="16"/>
  <c r="E12" i="7"/>
  <c r="C17" i="7"/>
  <c r="O17" i="12"/>
  <c r="P3" i="6"/>
  <c r="S17" i="7"/>
  <c r="Q14" i="6"/>
  <c r="K17" i="6"/>
  <c r="V3" i="7"/>
  <c r="M8" i="7"/>
  <c r="G7" i="8"/>
  <c r="C12" i="8"/>
  <c r="I6" i="5"/>
  <c r="AB15" i="5"/>
  <c r="T14" i="6"/>
  <c r="M17" i="6"/>
  <c r="F14" i="9"/>
  <c r="S7" i="15"/>
  <c r="O13" i="15"/>
  <c r="V6" i="16"/>
  <c r="W2" i="18"/>
  <c r="Z2" i="18"/>
  <c r="X2" i="18"/>
  <c r="V2" i="18"/>
  <c r="S2" i="18"/>
  <c r="R2" i="18"/>
  <c r="N2" i="18"/>
  <c r="M2" i="18"/>
  <c r="L2" i="18"/>
  <c r="G2" i="18"/>
  <c r="F2" i="18"/>
  <c r="X15" i="6"/>
  <c r="P15" i="6"/>
  <c r="U6" i="14"/>
  <c r="W6" i="14"/>
  <c r="S6" i="14"/>
  <c r="J6" i="14"/>
  <c r="F6" i="14"/>
  <c r="C12" i="12"/>
  <c r="X7" i="5"/>
  <c r="G8" i="6"/>
  <c r="AB14" i="5"/>
  <c r="Y3" i="6"/>
  <c r="P14" i="6"/>
  <c r="D13" i="5"/>
  <c r="E12" i="8"/>
  <c r="AB8" i="11"/>
  <c r="P8" i="11"/>
  <c r="C2" i="6"/>
  <c r="Z2" i="6"/>
  <c r="T15" i="6"/>
  <c r="R6" i="7"/>
  <c r="X12" i="7"/>
  <c r="Z17" i="7"/>
  <c r="S2" i="8"/>
  <c r="M15" i="9"/>
  <c r="X2" i="10"/>
  <c r="K14" i="10"/>
  <c r="W6" i="16"/>
  <c r="X17" i="18"/>
  <c r="U17" i="18"/>
  <c r="T17" i="18"/>
  <c r="S17" i="18"/>
  <c r="R17" i="18"/>
  <c r="Q17" i="18"/>
  <c r="P17" i="18"/>
  <c r="O17" i="18"/>
  <c r="N17" i="18"/>
  <c r="L17" i="18"/>
  <c r="J17" i="18"/>
  <c r="G17" i="18"/>
  <c r="E17" i="18"/>
  <c r="D17" i="18"/>
  <c r="C17" i="18"/>
  <c r="AB17" i="18"/>
  <c r="AA17" i="18"/>
  <c r="Y17" i="18"/>
  <c r="W17" i="18"/>
  <c r="C15" i="6"/>
  <c r="X7" i="15"/>
  <c r="I7" i="15"/>
  <c r="G7" i="15"/>
  <c r="U7" i="15"/>
  <c r="T7" i="15"/>
  <c r="Q7" i="15"/>
  <c r="T12" i="7"/>
  <c r="Z14" i="7"/>
  <c r="R14" i="7"/>
  <c r="E15" i="7"/>
  <c r="V17" i="7"/>
  <c r="G15" i="8"/>
  <c r="P7" i="9"/>
  <c r="Q8" i="9"/>
  <c r="Y3" i="11"/>
  <c r="X15" i="12"/>
  <c r="L15" i="12"/>
  <c r="W15" i="12"/>
  <c r="W14" i="6"/>
  <c r="Z7" i="14"/>
  <c r="X7" i="14"/>
  <c r="V7" i="14"/>
  <c r="J7" i="14"/>
  <c r="G7" i="14"/>
  <c r="T2" i="6"/>
  <c r="N6" i="6"/>
  <c r="L12" i="6"/>
  <c r="S13" i="6"/>
  <c r="X14" i="6"/>
  <c r="U15" i="6"/>
  <c r="P17" i="6"/>
  <c r="P2" i="7"/>
  <c r="S6" i="7"/>
  <c r="S7" i="7"/>
  <c r="R8" i="7"/>
  <c r="Y12" i="7"/>
  <c r="F14" i="7"/>
  <c r="G15" i="7"/>
  <c r="AA17" i="7"/>
  <c r="T2" i="8"/>
  <c r="O7" i="8"/>
  <c r="N12" i="8"/>
  <c r="L13" i="8"/>
  <c r="J14" i="8"/>
  <c r="R7" i="9"/>
  <c r="T8" i="9"/>
  <c r="W12" i="9"/>
  <c r="H14" i="9"/>
  <c r="Y15" i="9"/>
  <c r="Y2" i="10"/>
  <c r="C6" i="10"/>
  <c r="L14" i="10"/>
  <c r="I15" i="10"/>
  <c r="E7" i="11"/>
  <c r="D8" i="11"/>
  <c r="O12" i="11"/>
  <c r="J7" i="12"/>
  <c r="D15" i="12"/>
  <c r="G7" i="13"/>
  <c r="Q14" i="13"/>
  <c r="V15" i="13"/>
  <c r="F3" i="14"/>
  <c r="C7" i="14"/>
  <c r="I15" i="14"/>
  <c r="I3" i="15"/>
  <c r="R6" i="15"/>
  <c r="W7" i="15"/>
  <c r="L12" i="15"/>
  <c r="R13" i="15"/>
  <c r="Z7" i="16"/>
  <c r="X7" i="16"/>
  <c r="U7" i="16"/>
  <c r="T7" i="16"/>
  <c r="P7" i="16"/>
  <c r="J7" i="16"/>
  <c r="I7" i="16"/>
  <c r="F7" i="16"/>
  <c r="P12" i="17"/>
  <c r="J2" i="18"/>
  <c r="I17" i="18"/>
  <c r="E6" i="14"/>
  <c r="U3" i="5"/>
  <c r="Z15" i="8"/>
  <c r="K15" i="8"/>
  <c r="L7" i="9"/>
  <c r="E6" i="5"/>
  <c r="Z15" i="5"/>
  <c r="AB3" i="7"/>
  <c r="P8" i="7"/>
  <c r="S14" i="11"/>
  <c r="U14" i="11"/>
  <c r="H14" i="11"/>
  <c r="W13" i="13"/>
  <c r="Z13" i="13"/>
  <c r="P13" i="13"/>
  <c r="M13" i="13"/>
  <c r="C2" i="5"/>
  <c r="K6" i="5"/>
  <c r="E15" i="5"/>
  <c r="K12" i="6"/>
  <c r="R13" i="6"/>
  <c r="O17" i="6"/>
  <c r="R7" i="7"/>
  <c r="F15" i="7"/>
  <c r="C7" i="11"/>
  <c r="C8" i="11"/>
  <c r="M12" i="11"/>
  <c r="C14" i="11"/>
  <c r="X2" i="15"/>
  <c r="I2" i="15"/>
  <c r="G2" i="15"/>
  <c r="V2" i="15"/>
  <c r="U2" i="15"/>
  <c r="Q2" i="15"/>
  <c r="Q13" i="15"/>
  <c r="D2" i="5"/>
  <c r="M6" i="5"/>
  <c r="G13" i="5"/>
  <c r="F15" i="5"/>
  <c r="E2" i="5"/>
  <c r="R6" i="5"/>
  <c r="H13" i="5"/>
  <c r="G15" i="5"/>
  <c r="D17" i="5"/>
  <c r="AA2" i="6"/>
  <c r="O6" i="6"/>
  <c r="N12" i="6"/>
  <c r="T13" i="6"/>
  <c r="Y14" i="6"/>
  <c r="V15" i="6"/>
  <c r="Q17" i="6"/>
  <c r="Q2" i="7"/>
  <c r="U6" i="7"/>
  <c r="U7" i="7"/>
  <c r="T8" i="7"/>
  <c r="AB12" i="7"/>
  <c r="H14" i="7"/>
  <c r="H15" i="7"/>
  <c r="U2" i="8"/>
  <c r="P7" i="8"/>
  <c r="O12" i="8"/>
  <c r="M13" i="8"/>
  <c r="K14" i="8"/>
  <c r="J15" i="8"/>
  <c r="T7" i="9"/>
  <c r="U8" i="9"/>
  <c r="X12" i="9"/>
  <c r="I14" i="9"/>
  <c r="Z15" i="9"/>
  <c r="Z2" i="10"/>
  <c r="E6" i="10"/>
  <c r="G12" i="10"/>
  <c r="M14" i="10"/>
  <c r="K15" i="10"/>
  <c r="E8" i="11"/>
  <c r="P12" i="11"/>
  <c r="F14" i="11"/>
  <c r="K7" i="12"/>
  <c r="E15" i="12"/>
  <c r="I7" i="13"/>
  <c r="H13" i="13"/>
  <c r="S14" i="13"/>
  <c r="W15" i="13"/>
  <c r="I3" i="14"/>
  <c r="D7" i="14"/>
  <c r="J15" i="14"/>
  <c r="D2" i="15"/>
  <c r="J3" i="15"/>
  <c r="S6" i="15"/>
  <c r="Y7" i="15"/>
  <c r="N12" i="15"/>
  <c r="S13" i="15"/>
  <c r="C7" i="16"/>
  <c r="S12" i="17"/>
  <c r="K2" i="18"/>
  <c r="M17" i="18"/>
  <c r="L3" i="5"/>
  <c r="AA6" i="11"/>
  <c r="J6" i="11"/>
  <c r="W7" i="17"/>
  <c r="V7" i="17"/>
  <c r="T7" i="17"/>
  <c r="R7" i="17"/>
  <c r="P7" i="17"/>
  <c r="J7" i="17"/>
  <c r="F7" i="17"/>
  <c r="E7" i="17"/>
  <c r="D7" i="17"/>
  <c r="U3" i="7"/>
  <c r="S12" i="7"/>
  <c r="Z15" i="7"/>
  <c r="C15" i="5"/>
  <c r="AA15" i="5"/>
  <c r="J6" i="5"/>
  <c r="D15" i="5"/>
  <c r="D12" i="6"/>
  <c r="S15" i="6"/>
  <c r="Q7" i="7"/>
  <c r="W12" i="7"/>
  <c r="K7" i="8"/>
  <c r="Q7" i="11"/>
  <c r="AB7" i="11"/>
  <c r="D7" i="11"/>
  <c r="N7" i="11"/>
  <c r="AB15" i="12"/>
  <c r="F13" i="5"/>
  <c r="Q8" i="7"/>
  <c r="D14" i="7"/>
  <c r="M7" i="8"/>
  <c r="H12" i="8"/>
  <c r="K13" i="8"/>
  <c r="H15" i="8"/>
  <c r="Q7" i="9"/>
  <c r="R8" i="9"/>
  <c r="G14" i="9"/>
  <c r="G7" i="12"/>
  <c r="F13" i="13"/>
  <c r="W6" i="5"/>
  <c r="I13" i="5"/>
  <c r="H15" i="5"/>
  <c r="AB2" i="6"/>
  <c r="P6" i="6"/>
  <c r="O12" i="6"/>
  <c r="V13" i="6"/>
  <c r="AA14" i="6"/>
  <c r="W15" i="6"/>
  <c r="R17" i="6"/>
  <c r="R2" i="7"/>
  <c r="V6" i="7"/>
  <c r="V7" i="7"/>
  <c r="U8" i="7"/>
  <c r="Z13" i="7"/>
  <c r="N13" i="7"/>
  <c r="I14" i="7"/>
  <c r="I15" i="7"/>
  <c r="V2" i="8"/>
  <c r="Q7" i="8"/>
  <c r="Q12" i="8"/>
  <c r="N13" i="8"/>
  <c r="L14" i="8"/>
  <c r="L15" i="8"/>
  <c r="U7" i="9"/>
  <c r="X8" i="9"/>
  <c r="Y12" i="9"/>
  <c r="J14" i="9"/>
  <c r="AA2" i="10"/>
  <c r="N14" i="10"/>
  <c r="L15" i="10"/>
  <c r="G7" i="11"/>
  <c r="I8" i="11"/>
  <c r="T12" i="11"/>
  <c r="G14" i="11"/>
  <c r="P7" i="12"/>
  <c r="F15" i="12"/>
  <c r="M7" i="13"/>
  <c r="K13" i="13"/>
  <c r="T14" i="13"/>
  <c r="Y15" i="13"/>
  <c r="K3" i="14"/>
  <c r="E7" i="14"/>
  <c r="K15" i="14"/>
  <c r="E2" i="15"/>
  <c r="K3" i="15"/>
  <c r="U6" i="15"/>
  <c r="Z7" i="15"/>
  <c r="O12" i="15"/>
  <c r="V13" i="15"/>
  <c r="D7" i="16"/>
  <c r="T12" i="17"/>
  <c r="O2" i="18"/>
  <c r="V17" i="18"/>
  <c r="AB8" i="18"/>
  <c r="Y12" i="18"/>
  <c r="E15" i="18"/>
  <c r="H2" i="19"/>
  <c r="K3" i="19"/>
  <c r="N6" i="19"/>
  <c r="M8" i="19"/>
  <c r="C12" i="19"/>
  <c r="K13" i="19"/>
  <c r="T14" i="19"/>
  <c r="K3" i="18"/>
  <c r="C8" i="18"/>
  <c r="Z12" i="18"/>
  <c r="J15" i="18"/>
  <c r="M2" i="19"/>
  <c r="M3" i="19"/>
  <c r="O6" i="19"/>
  <c r="N8" i="19"/>
  <c r="E12" i="19"/>
  <c r="L13" i="19"/>
  <c r="U14" i="19"/>
  <c r="J2" i="13"/>
  <c r="L3" i="13"/>
  <c r="N8" i="15"/>
  <c r="AB17" i="16"/>
  <c r="C8" i="17"/>
  <c r="M3" i="18"/>
  <c r="D8" i="18"/>
  <c r="K15" i="18"/>
  <c r="N2" i="19"/>
  <c r="N3" i="19"/>
  <c r="R6" i="19"/>
  <c r="O8" i="19"/>
  <c r="F12" i="19"/>
  <c r="M13" i="19"/>
  <c r="V14" i="19"/>
  <c r="E8" i="18"/>
  <c r="M15" i="18"/>
  <c r="O2" i="19"/>
  <c r="P3" i="19"/>
  <c r="W6" i="19"/>
  <c r="P8" i="19"/>
  <c r="G12" i="19"/>
  <c r="O13" i="19"/>
  <c r="AB14" i="19"/>
  <c r="H12" i="19"/>
  <c r="T8" i="15"/>
  <c r="H8" i="17"/>
  <c r="H15" i="17"/>
  <c r="Q3" i="18"/>
  <c r="I6" i="18"/>
  <c r="G8" i="18"/>
  <c r="H13" i="18"/>
  <c r="S15" i="18"/>
  <c r="R2" i="19"/>
  <c r="R3" i="19"/>
  <c r="R8" i="19"/>
  <c r="I12" i="19"/>
  <c r="Q13" i="19"/>
  <c r="C15" i="19"/>
  <c r="W8" i="15"/>
  <c r="J8" i="17"/>
  <c r="I15" i="17"/>
  <c r="R3" i="18"/>
  <c r="J6" i="18"/>
  <c r="J8" i="18"/>
  <c r="P13" i="18"/>
  <c r="W15" i="18"/>
  <c r="S2" i="19"/>
  <c r="S3" i="19"/>
  <c r="S8" i="19"/>
  <c r="J12" i="19"/>
  <c r="T13" i="19"/>
  <c r="E15" i="19"/>
  <c r="N8" i="17"/>
  <c r="N15" i="17"/>
  <c r="S3" i="18"/>
  <c r="K6" i="18"/>
  <c r="K8" i="18"/>
  <c r="X15" i="18"/>
  <c r="U2" i="19"/>
  <c r="T3" i="19"/>
  <c r="T8" i="19"/>
  <c r="L12" i="19"/>
  <c r="V13" i="19"/>
  <c r="F15" i="19"/>
  <c r="Y15" i="18"/>
  <c r="V2" i="19"/>
  <c r="U3" i="19"/>
  <c r="V8" i="19"/>
  <c r="P12" i="19"/>
  <c r="W13" i="19"/>
  <c r="G15" i="19"/>
  <c r="Q8" i="17"/>
  <c r="Y3" i="18"/>
  <c r="Q6" i="18"/>
  <c r="O8" i="18"/>
  <c r="L14" i="18"/>
  <c r="AA15" i="18"/>
  <c r="X2" i="19"/>
  <c r="W3" i="19"/>
  <c r="Y8" i="19"/>
  <c r="R12" i="19"/>
  <c r="Z13" i="19"/>
  <c r="L15" i="19"/>
  <c r="C17" i="19"/>
  <c r="W6" i="18"/>
  <c r="P8" i="18"/>
  <c r="Q14" i="18"/>
  <c r="AB15" i="18"/>
  <c r="Z2" i="19"/>
  <c r="Y3" i="19"/>
  <c r="Z8" i="19"/>
  <c r="T12" i="19"/>
  <c r="AA13" i="19"/>
  <c r="M15" i="19"/>
  <c r="E17" i="19"/>
  <c r="U12" i="19"/>
  <c r="O15" i="19"/>
  <c r="F17" i="19"/>
  <c r="R3" i="16"/>
  <c r="T8" i="17"/>
  <c r="D13" i="17"/>
  <c r="AA6" i="18"/>
  <c r="R8" i="18"/>
  <c r="U14" i="18"/>
  <c r="AA3" i="19"/>
  <c r="AB8" i="19"/>
  <c r="V12" i="19"/>
  <c r="F14" i="19"/>
  <c r="P15" i="19"/>
  <c r="G17" i="19"/>
  <c r="Z2" i="13"/>
  <c r="R8" i="13"/>
  <c r="C8" i="15"/>
  <c r="S3" i="16"/>
  <c r="C17" i="16"/>
  <c r="U8" i="17"/>
  <c r="N13" i="17"/>
  <c r="S8" i="18"/>
  <c r="V14" i="18"/>
  <c r="C3" i="19"/>
  <c r="AB3" i="19"/>
  <c r="C8" i="19"/>
  <c r="Y12" i="19"/>
  <c r="G14" i="19"/>
  <c r="Q15" i="19"/>
  <c r="M17" i="19"/>
  <c r="T8" i="18"/>
  <c r="X14" i="18"/>
  <c r="D3" i="19"/>
  <c r="D8" i="19"/>
  <c r="AA12" i="19"/>
  <c r="H14" i="19"/>
  <c r="W15" i="19"/>
  <c r="O17" i="19"/>
  <c r="U8" i="13"/>
  <c r="G17" i="16"/>
  <c r="W8" i="17"/>
  <c r="R13" i="17"/>
  <c r="C7" i="18"/>
  <c r="U8" i="18"/>
  <c r="Y14" i="18"/>
  <c r="E3" i="19"/>
  <c r="E8" i="19"/>
  <c r="AB12" i="19"/>
  <c r="J14" i="19"/>
  <c r="Y15" i="19"/>
  <c r="Q17" i="19"/>
  <c r="D7" i="18"/>
  <c r="V8" i="18"/>
  <c r="AA14" i="18"/>
  <c r="K14" i="19"/>
  <c r="AA15" i="19"/>
  <c r="R17" i="19"/>
  <c r="AA8" i="17"/>
  <c r="U13" i="17"/>
  <c r="D3" i="18"/>
  <c r="G7" i="18"/>
  <c r="W8" i="18"/>
  <c r="G3" i="19"/>
  <c r="E6" i="19"/>
  <c r="G8" i="19"/>
  <c r="C13" i="19"/>
  <c r="L14" i="19"/>
  <c r="AB15" i="19"/>
  <c r="V17" i="19"/>
  <c r="E3" i="18"/>
  <c r="H3" i="19"/>
  <c r="G6" i="19"/>
  <c r="H8" i="19"/>
  <c r="D13" i="19"/>
  <c r="O14" i="19"/>
  <c r="Y17" i="19"/>
  <c r="C2" i="19"/>
  <c r="I3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<sst xmlns="http://schemas.openxmlformats.org/spreadsheetml/2006/main" count="3113" uniqueCount="587">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</sst>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111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MT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1.6954642736405619E-3</v>
      </c>
      <c r="C2" s="7">
        <f>$B2 * IFERROR(VLOOKUP("transport|PM25|Premature mortality", US_national_yearly!$D:$AM, 11, FALSE) / VLOOKUP("transport|PM25|Premature mortality", US_national_yearly!$D:$AM, 10, FALSE), 1)</f>
        <v>1.7164843150472586E-3</v>
      </c>
      <c r="D2" s="7">
        <f>$B2 * IFERROR(VLOOKUP("transport|PM25|Premature mortality", US_national_yearly!$D:$AM, 12, FALSE) / VLOOKUP("transport|PM25|Premature mortality", US_national_yearly!$D:$AM, 10, FALSE), 1)</f>
        <v>1.7375043564539549E-3</v>
      </c>
      <c r="E2" s="7">
        <f>$B2 * IFERROR(VLOOKUP("transport|PM25|Premature mortality", US_national_yearly!$D:$AM, 13, FALSE) / VLOOKUP("transport|PM25|Premature mortality", US_national_yearly!$D:$AM, 10, FALSE), 1)</f>
        <v>1.7585243978606511E-3</v>
      </c>
      <c r="F2" s="7">
        <f>$B2 * IFERROR(VLOOKUP("transport|PM25|Premature mortality", US_national_yearly!$D:$AM, 14, FALSE) / VLOOKUP("transport|PM25|Premature mortality", US_national_yearly!$D:$AM, 10, FALSE), 1)</f>
        <v>1.7795444392673476E-3</v>
      </c>
      <c r="G2" s="7">
        <f>$B2 * IFERROR(VLOOKUP("transport|PM25|Premature mortality", US_national_yearly!$D:$AM, 15, FALSE) / VLOOKUP("transport|PM25|Premature mortality", US_national_yearly!$D:$AM, 10, FALSE), 1)</f>
        <v>1.8204808113774893E-3</v>
      </c>
      <c r="H2" s="7">
        <f>$B2 * IFERROR(VLOOKUP("transport|PM25|Premature mortality", US_national_yearly!$D:$AM, 16, FALSE) / VLOOKUP("transport|PM25|Premature mortality", US_national_yearly!$D:$AM, 10, FALSE), 1)</f>
        <v>1.8614171834876311E-3</v>
      </c>
      <c r="I2" s="7">
        <f>$B2 * IFERROR(VLOOKUP("transport|PM25|Premature mortality", US_national_yearly!$D:$AM, 17, FALSE) / VLOOKUP("transport|PM25|Premature mortality", US_national_yearly!$D:$AM, 10, FALSE), 1)</f>
        <v>1.8883059159117001E-3</v>
      </c>
      <c r="J2" s="7">
        <f>$B2 * IFERROR(VLOOKUP("transport|PM25|Premature mortality", US_national_yearly!$D:$AM, 18, FALSE) / VLOOKUP("transport|PM25|Premature mortality", US_national_yearly!$D:$AM, 10, FALSE), 1)</f>
        <v>1.9151946483357701E-3</v>
      </c>
      <c r="K2" s="7">
        <f>$B2 * IFERROR(VLOOKUP("transport|PM25|Premature mortality", US_national_yearly!$D:$AM, 19, FALSE) / VLOOKUP("transport|PM25|Premature mortality", US_national_yearly!$D:$AM, 10, FALSE), 1)</f>
        <v>1.9420833807598395E-3</v>
      </c>
      <c r="L2" s="7">
        <f>$B2 * IFERROR(VLOOKUP("transport|PM25|Premature mortality", US_national_yearly!$D:$AM, 20, FALSE) / VLOOKUP("transport|PM25|Premature mortality", US_national_yearly!$D:$AM, 10, FALSE), 1)</f>
        <v>1.9689721131839096E-3</v>
      </c>
      <c r="M2" s="7">
        <f>$B2 * IFERROR(VLOOKUP("transport|PM25|Premature mortality", US_national_yearly!$D:$AM, 21, FALSE) / VLOOKUP("transport|PM25|Premature mortality", US_national_yearly!$D:$AM, 10, FALSE), 1)</f>
        <v>1.9958608456079789E-3</v>
      </c>
      <c r="N2" s="7">
        <f>$B2 * IFERROR(VLOOKUP("transport|PM25|Premature mortality", US_national_yearly!$D:$AM, 22, FALSE) / VLOOKUP("transport|PM25|Premature mortality", US_national_yearly!$D:$AM, 10, FALSE), 1)</f>
        <v>2.0167382350277227E-3</v>
      </c>
      <c r="O2" s="7">
        <f>$B2 * IFERROR(VLOOKUP("transport|PM25|Premature mortality", US_national_yearly!$D:$AM, 23, FALSE) / VLOOKUP("transport|PM25|Premature mortality", US_national_yearly!$D:$AM, 10, FALSE), 1)</f>
        <v>2.0376156244474668E-3</v>
      </c>
      <c r="P2" s="7">
        <f>$B2 * IFERROR(VLOOKUP("transport|PM25|Premature mortality", US_national_yearly!$D:$AM, 24, FALSE) / VLOOKUP("transport|PM25|Premature mortality", US_national_yearly!$D:$AM, 10, FALSE), 1)</f>
        <v>2.0584930138672105E-3</v>
      </c>
      <c r="Q2" s="7">
        <f>$B2 * IFERROR(VLOOKUP("transport|PM25|Premature mortality", US_national_yearly!$D:$AM, 25, FALSE) / VLOOKUP("transport|PM25|Premature mortality", US_national_yearly!$D:$AM, 10, FALSE), 1)</f>
        <v>2.0793704032869547E-3</v>
      </c>
      <c r="R2" s="7">
        <f>$B2 * IFERROR(VLOOKUP("transport|PM25|Premature mortality", US_national_yearly!$D:$AM, 26, FALSE) / VLOOKUP("transport|PM25|Premature mortality", US_national_yearly!$D:$AM, 10, FALSE), 1)</f>
        <v>2.1002477927066989E-3</v>
      </c>
      <c r="S2" s="7">
        <f>$B2 * IFERROR(VLOOKUP("transport|PM25|Premature mortality", US_national_yearly!$D:$AM, 27, FALSE) / VLOOKUP("transport|PM25|Premature mortality", US_national_yearly!$D:$AM, 10, FALSE), 1)</f>
        <v>2.1113080133333649E-3</v>
      </c>
      <c r="T2" s="7">
        <f>$B2 * IFERROR(VLOOKUP("transport|PM25|Premature mortality", US_national_yearly!$D:$AM, 28, FALSE) / VLOOKUP("transport|PM25|Premature mortality", US_national_yearly!$D:$AM, 10, FALSE), 1)</f>
        <v>2.1223682339600309E-3</v>
      </c>
      <c r="U2" s="7">
        <f>$B2 * IFERROR(VLOOKUP("transport|PM25|Premature mortality", US_national_yearly!$D:$AM, 29, FALSE) / VLOOKUP("transport|PM25|Premature mortality", US_national_yearly!$D:$AM, 10, FALSE), 1)</f>
        <v>2.1334284545866966E-3</v>
      </c>
      <c r="V2" s="7">
        <f>$B2 * IFERROR(VLOOKUP("transport|PM25|Premature mortality", US_national_yearly!$D:$AM, 30, FALSE) / VLOOKUP("transport|PM25|Premature mortality", US_national_yearly!$D:$AM, 10, FALSE), 1)</f>
        <v>2.1444886752133622E-3</v>
      </c>
      <c r="W2" s="7">
        <f>$B2 * IFERROR(VLOOKUP("transport|PM25|Premature mortality", US_national_yearly!$D:$AM, 31, FALSE) / VLOOKUP("transport|PM25|Premature mortality", US_national_yearly!$D:$AM, 10, FALSE), 1)</f>
        <v>2.1555488958400282E-3</v>
      </c>
      <c r="X2" s="7">
        <f>$B2 * IFERROR(VLOOKUP("transport|PM25|Premature mortality", US_national_yearly!$D:$AM, 32, FALSE) / VLOOKUP("transport|PM25|Premature mortality", US_national_yearly!$D:$AM, 10, FALSE), 1)</f>
        <v>2.1574828609733339E-3</v>
      </c>
      <c r="Y2" s="7">
        <f>$B2 * IFERROR(VLOOKUP("transport|PM25|Premature mortality", US_national_yearly!$D:$AM, 33, FALSE) / VLOOKUP("transport|PM25|Premature mortality", US_national_yearly!$D:$AM, 10, FALSE), 1)</f>
        <v>2.1594168261066405E-3</v>
      </c>
      <c r="Z2" s="7">
        <f>$B2 * IFERROR(VLOOKUP("transport|PM25|Premature mortality", US_national_yearly!$D:$AM, 34, FALSE) / VLOOKUP("transport|PM25|Premature mortality", US_national_yearly!$D:$AM, 10, FALSE), 1)</f>
        <v>2.1613507912399462E-3</v>
      </c>
      <c r="AA2" s="7">
        <f>$B2 * IFERROR(VLOOKUP("transport|PM25|Premature mortality", US_national_yearly!$D:$AM, 35, FALSE) / VLOOKUP("transport|PM25|Premature mortality", US_national_yearly!$D:$AM, 10, FALSE), 1)</f>
        <v>2.1632847563732528E-3</v>
      </c>
      <c r="AB2" s="7">
        <f>$B2 * IFERROR(VLOOKUP("transport|PM25|Premature mortality", US_national_yearly!$D:$AM, 36, FALSE) / VLOOKUP("transport|PM25|Premature mortality", US_national_yearly!$D:$AM, 10, FALSE), 1)</f>
        <v>2.1652187215065585E-3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3.4150395129639795E-6</v>
      </c>
      <c r="C3" s="7">
        <f>$B3 * IFERROR(VLOOKUP("transport|PM25|Infant mortality", US_national_yearly!$D:$AM, 11, FALSE) / VLOOKUP("transport|PM25|Infant mortality", US_national_yearly!$D:$AM, 10, FALSE), 1)</f>
        <v>3.3852634846567014E-6</v>
      </c>
      <c r="D3" s="7">
        <f>$B3 * IFERROR(VLOOKUP("transport|PM25|Infant mortality", US_national_yearly!$D:$AM, 12, FALSE) / VLOOKUP("transport|PM25|Infant mortality", US_national_yearly!$D:$AM, 10, FALSE), 1)</f>
        <v>3.3554874563494224E-6</v>
      </c>
      <c r="E3" s="7">
        <f>$B3 * IFERROR(VLOOKUP("transport|PM25|Infant mortality", US_national_yearly!$D:$AM, 13, FALSE) / VLOOKUP("transport|PM25|Infant mortality", US_national_yearly!$D:$AM, 10, FALSE), 1)</f>
        <v>3.3257114280421443E-6</v>
      </c>
      <c r="F3" s="7">
        <f>$B3 * IFERROR(VLOOKUP("transport|PM25|Infant mortality", US_national_yearly!$D:$AM, 14, FALSE) / VLOOKUP("transport|PM25|Infant mortality", US_national_yearly!$D:$AM, 10, FALSE), 1)</f>
        <v>3.2959353997348653E-6</v>
      </c>
      <c r="G3" s="7">
        <f>$B3 * IFERROR(VLOOKUP("transport|PM25|Infant mortality", US_national_yearly!$D:$AM, 15, FALSE) / VLOOKUP("transport|PM25|Infant mortality", US_national_yearly!$D:$AM, 10, FALSE), 1)</f>
        <v>2.1919733468553436E-6</v>
      </c>
      <c r="H3" s="7">
        <f>$B3 * IFERROR(VLOOKUP("transport|PM25|Infant mortality", US_national_yearly!$D:$AM, 16, FALSE) / VLOOKUP("transport|PM25|Infant mortality", US_national_yearly!$D:$AM, 10, FALSE), 1)</f>
        <v>1.0880112939758211E-6</v>
      </c>
      <c r="I3" s="7">
        <f>$B3 * IFERROR(VLOOKUP("transport|PM25|Infant mortality", US_national_yearly!$D:$AM, 17, FALSE) / VLOOKUP("transport|PM25|Infant mortality", US_national_yearly!$D:$AM, 10, FALSE), 1)</f>
        <v>1.0808993429353091E-6</v>
      </c>
      <c r="J3" s="7">
        <f>$B3 * IFERROR(VLOOKUP("transport|PM25|Infant mortality", US_national_yearly!$D:$AM, 18, FALSE) / VLOOKUP("transport|PM25|Infant mortality", US_national_yearly!$D:$AM, 10, FALSE), 1)</f>
        <v>1.0737873918947966E-6</v>
      </c>
      <c r="K3" s="7">
        <f>$B3 * IFERROR(VLOOKUP("transport|PM25|Infant mortality", US_national_yearly!$D:$AM, 19, FALSE) / VLOOKUP("transport|PM25|Infant mortality", US_national_yearly!$D:$AM, 10, FALSE), 1)</f>
        <v>1.0666754408542843E-6</v>
      </c>
      <c r="L3" s="7">
        <f>$B3 * IFERROR(VLOOKUP("transport|PM25|Infant mortality", US_national_yearly!$D:$AM, 20, FALSE) / VLOOKUP("transport|PM25|Infant mortality", US_national_yearly!$D:$AM, 10, FALSE), 1)</f>
        <v>1.0595634898137723E-6</v>
      </c>
      <c r="M3" s="7">
        <f>$B3 * IFERROR(VLOOKUP("transport|PM25|Infant mortality", US_national_yearly!$D:$AM, 21, FALSE) / VLOOKUP("transport|PM25|Infant mortality", US_national_yearly!$D:$AM, 10, FALSE), 1)</f>
        <v>1.05245153877326E-6</v>
      </c>
      <c r="N3" s="7">
        <f>$B3 * IFERROR(VLOOKUP("transport|PM25|Infant mortality", US_national_yearly!$D:$AM, 22, FALSE) / VLOOKUP("transport|PM25|Infant mortality", US_national_yearly!$D:$AM, 10, FALSE), 1)</f>
        <v>1.0479844461499402E-6</v>
      </c>
      <c r="O3" s="7">
        <f>$B3 * IFERROR(VLOOKUP("transport|PM25|Infant mortality", US_national_yearly!$D:$AM, 23, FALSE) / VLOOKUP("transport|PM25|Infant mortality", US_national_yearly!$D:$AM, 10, FALSE), 1)</f>
        <v>1.0435173535266203E-6</v>
      </c>
      <c r="P3" s="7">
        <f>$B3 * IFERROR(VLOOKUP("transport|PM25|Infant mortality", US_national_yearly!$D:$AM, 24, FALSE) / VLOOKUP("transport|PM25|Infant mortality", US_national_yearly!$D:$AM, 10, FALSE), 1)</f>
        <v>1.0390502609033002E-6</v>
      </c>
      <c r="Q3" s="7">
        <f>$B3 * IFERROR(VLOOKUP("transport|PM25|Infant mortality", US_national_yearly!$D:$AM, 25, FALSE) / VLOOKUP("transport|PM25|Infant mortality", US_national_yearly!$D:$AM, 10, FALSE), 1)</f>
        <v>1.0345831682799805E-6</v>
      </c>
      <c r="R3" s="7">
        <f>$B3 * IFERROR(VLOOKUP("transport|PM25|Infant mortality", US_national_yearly!$D:$AM, 26, FALSE) / VLOOKUP("transport|PM25|Infant mortality", US_national_yearly!$D:$AM, 10, FALSE), 1)</f>
        <v>1.0301160756566605E-6</v>
      </c>
      <c r="S3" s="7">
        <f>$B3 * IFERROR(VLOOKUP("transport|PM25|Infant mortality", US_national_yearly!$D:$AM, 27, FALSE) / VLOOKUP("transport|PM25|Infant mortality", US_national_yearly!$D:$AM, 10, FALSE), 1)</f>
        <v>1.0245477533648423E-6</v>
      </c>
      <c r="T3" s="7">
        <f>$B3 * IFERROR(VLOOKUP("transport|PM25|Infant mortality", US_national_yearly!$D:$AM, 28, FALSE) / VLOOKUP("transport|PM25|Infant mortality", US_national_yearly!$D:$AM, 10, FALSE), 1)</f>
        <v>1.0189794310730239E-6</v>
      </c>
      <c r="U3" s="7">
        <f>$B3 * IFERROR(VLOOKUP("transport|PM25|Infant mortality", US_national_yearly!$D:$AM, 29, FALSE) / VLOOKUP("transport|PM25|Infant mortality", US_national_yearly!$D:$AM, 10, FALSE), 1)</f>
        <v>1.0134111087812057E-6</v>
      </c>
      <c r="V3" s="7">
        <f>$B3 * IFERROR(VLOOKUP("transport|PM25|Infant mortality", US_national_yearly!$D:$AM, 30, FALSE) / VLOOKUP("transport|PM25|Infant mortality", US_national_yearly!$D:$AM, 10, FALSE), 1)</f>
        <v>1.0078427864893876E-6</v>
      </c>
      <c r="W3" s="7">
        <f>$B3 * IFERROR(VLOOKUP("transport|PM25|Infant mortality", US_national_yearly!$D:$AM, 31, FALSE) / VLOOKUP("transport|PM25|Infant mortality", US_national_yearly!$D:$AM, 10, FALSE), 1)</f>
        <v>1.0022744641975692E-6</v>
      </c>
      <c r="X3" s="7">
        <f>$B3 * IFERROR(VLOOKUP("transport|PM25|Infant mortality", US_national_yearly!$D:$AM, 32, FALSE) / VLOOKUP("transport|PM25|Infant mortality", US_national_yearly!$D:$AM, 10, FALSE), 1)</f>
        <v>9.9627111290230134E-7</v>
      </c>
      <c r="Y3" s="7">
        <f>$B3 * IFERROR(VLOOKUP("transport|PM25|Infant mortality", US_national_yearly!$D:$AM, 33, FALSE) / VLOOKUP("transport|PM25|Infant mortality", US_national_yearly!$D:$AM, 10, FALSE), 1)</f>
        <v>9.9026776160703306E-7</v>
      </c>
      <c r="Z3" s="7">
        <f>$B3 * IFERROR(VLOOKUP("transport|PM25|Infant mortality", US_national_yearly!$D:$AM, 34, FALSE) / VLOOKUP("transport|PM25|Infant mortality", US_national_yearly!$D:$AM, 10, FALSE), 1)</f>
        <v>9.842644103117652E-7</v>
      </c>
      <c r="AA3" s="7">
        <f>$B3 * IFERROR(VLOOKUP("transport|PM25|Infant mortality", US_national_yearly!$D:$AM, 35, FALSE) / VLOOKUP("transport|PM25|Infant mortality", US_national_yearly!$D:$AM, 10, FALSE), 1)</f>
        <v>9.7826105901649713E-7</v>
      </c>
      <c r="AB3" s="7">
        <f>$B3 * IFERROR(VLOOKUP("transport|PM25|Infant mortality", US_national_yearly!$D:$AM, 36, FALSE) / VLOOKUP("transport|PM25|Infant mortality", US_national_yearly!$D:$AM, 10, FALSE), 1)</f>
        <v>9.7225770772122928E-7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3.7556368790276564E-3</v>
      </c>
      <c r="C6" s="7">
        <f>$B6 * IFERROR(VLOOKUP("transport|PM25|Asthma symptoms cough", US_national_yearly!$D:$AM, 11, FALSE) / VLOOKUP("transport|PM25|Asthma symptoms cough", US_national_yearly!$D:$AM, 10, FALSE), 1)</f>
        <v>3.7556368790276564E-3</v>
      </c>
      <c r="D6" s="7">
        <f>$B6 * IFERROR(VLOOKUP("transport|PM25|Asthma symptoms cough", US_national_yearly!$D:$AM, 12, FALSE) / VLOOKUP("transport|PM25|Asthma symptoms cough", US_national_yearly!$D:$AM, 10, FALSE), 1)</f>
        <v>3.7556368790276564E-3</v>
      </c>
      <c r="E6" s="7">
        <f>$B6 * IFERROR(VLOOKUP("transport|PM25|Asthma symptoms cough", US_national_yearly!$D:$AM, 13, FALSE) / VLOOKUP("transport|PM25|Asthma symptoms cough", US_national_yearly!$D:$AM, 10, FALSE), 1)</f>
        <v>3.7556368790276564E-3</v>
      </c>
      <c r="F6" s="7">
        <f>$B6 * IFERROR(VLOOKUP("transport|PM25|Asthma symptoms cough", US_national_yearly!$D:$AM, 14, FALSE) / VLOOKUP("transport|PM25|Asthma symptoms cough", US_national_yearly!$D:$AM, 10, FALSE), 1)</f>
        <v>3.7556368790276564E-3</v>
      </c>
      <c r="G6" s="7">
        <f>$B6 * IFERROR(VLOOKUP("transport|PM25|Asthma symptoms cough", US_national_yearly!$D:$AM, 15, FALSE) / VLOOKUP("transport|PM25|Asthma symptoms cough", US_national_yearly!$D:$AM, 10, FALSE), 1)</f>
        <v>3.7556368790276564E-3</v>
      </c>
      <c r="H6" s="7">
        <f>$B6 * IFERROR(VLOOKUP("transport|PM25|Asthma symptoms cough", US_national_yearly!$D:$AM, 16, FALSE) / VLOOKUP("transport|PM25|Asthma symptoms cough", US_national_yearly!$D:$AM, 10, FALSE), 1)</f>
        <v>3.7556368790276564E-3</v>
      </c>
      <c r="I6" s="7">
        <f>$B6 * IFERROR(VLOOKUP("transport|PM25|Asthma symptoms cough", US_national_yearly!$D:$AM, 17, FALSE) / VLOOKUP("transport|PM25|Asthma symptoms cough", US_national_yearly!$D:$AM, 10, FALSE), 1)</f>
        <v>3.7556368790276564E-3</v>
      </c>
      <c r="J6" s="7">
        <f>$B6 * IFERROR(VLOOKUP("transport|PM25|Asthma symptoms cough", US_national_yearly!$D:$AM, 18, FALSE) / VLOOKUP("transport|PM25|Asthma symptoms cough", US_national_yearly!$D:$AM, 10, FALSE), 1)</f>
        <v>3.7556368790276564E-3</v>
      </c>
      <c r="K6" s="7">
        <f>$B6 * IFERROR(VLOOKUP("transport|PM25|Asthma symptoms cough", US_national_yearly!$D:$AM, 19, FALSE) / VLOOKUP("transport|PM25|Asthma symptoms cough", US_national_yearly!$D:$AM, 10, FALSE), 1)</f>
        <v>3.7556368790276564E-3</v>
      </c>
      <c r="L6" s="7">
        <f>$B6 * IFERROR(VLOOKUP("transport|PM25|Asthma symptoms cough", US_national_yearly!$D:$AM, 20, FALSE) / VLOOKUP("transport|PM25|Asthma symptoms cough", US_national_yearly!$D:$AM, 10, FALSE), 1)</f>
        <v>3.7556368790276564E-3</v>
      </c>
      <c r="M6" s="7">
        <f>$B6 * IFERROR(VLOOKUP("transport|PM25|Asthma symptoms cough", US_national_yearly!$D:$AM, 21, FALSE) / VLOOKUP("transport|PM25|Asthma symptoms cough", US_national_yearly!$D:$AM, 10, FALSE), 1)</f>
        <v>3.7556368790276564E-3</v>
      </c>
      <c r="N6" s="7">
        <f>$B6 * IFERROR(VLOOKUP("transport|PM25|Asthma symptoms cough", US_national_yearly!$D:$AM, 22, FALSE) / VLOOKUP("transport|PM25|Asthma symptoms cough", US_national_yearly!$D:$AM, 10, FALSE), 1)</f>
        <v>3.7556368790276564E-3</v>
      </c>
      <c r="O6" s="7">
        <f>$B6 * IFERROR(VLOOKUP("transport|PM25|Asthma symptoms cough", US_national_yearly!$D:$AM, 23, FALSE) / VLOOKUP("transport|PM25|Asthma symptoms cough", US_national_yearly!$D:$AM, 10, FALSE), 1)</f>
        <v>3.7556368790276564E-3</v>
      </c>
      <c r="P6" s="7">
        <f>$B6 * IFERROR(VLOOKUP("transport|PM25|Asthma symptoms cough", US_national_yearly!$D:$AM, 24, FALSE) / VLOOKUP("transport|PM25|Asthma symptoms cough", US_national_yearly!$D:$AM, 10, FALSE), 1)</f>
        <v>3.7556368790276564E-3</v>
      </c>
      <c r="Q6" s="7">
        <f>$B6 * IFERROR(VLOOKUP("transport|PM25|Asthma symptoms cough", US_national_yearly!$D:$AM, 25, FALSE) / VLOOKUP("transport|PM25|Asthma symptoms cough", US_national_yearly!$D:$AM, 10, FALSE), 1)</f>
        <v>3.7556368790276564E-3</v>
      </c>
      <c r="R6" s="7">
        <f>$B6 * IFERROR(VLOOKUP("transport|PM25|Asthma symptoms cough", US_national_yearly!$D:$AM, 26, FALSE) / VLOOKUP("transport|PM25|Asthma symptoms cough", US_national_yearly!$D:$AM, 10, FALSE), 1)</f>
        <v>3.7556368790276564E-3</v>
      </c>
      <c r="S6" s="7">
        <f>$B6 * IFERROR(VLOOKUP("transport|PM25|Asthma symptoms cough", US_national_yearly!$D:$AM, 27, FALSE) / VLOOKUP("transport|PM25|Asthma symptoms cough", US_national_yearly!$D:$AM, 10, FALSE), 1)</f>
        <v>3.7556368790276564E-3</v>
      </c>
      <c r="T6" s="7">
        <f>$B6 * IFERROR(VLOOKUP("transport|PM25|Asthma symptoms cough", US_national_yearly!$D:$AM, 28, FALSE) / VLOOKUP("transport|PM25|Asthma symptoms cough", US_national_yearly!$D:$AM, 10, FALSE), 1)</f>
        <v>3.7556368790276564E-3</v>
      </c>
      <c r="U6" s="7">
        <f>$B6 * IFERROR(VLOOKUP("transport|PM25|Asthma symptoms cough", US_national_yearly!$D:$AM, 29, FALSE) / VLOOKUP("transport|PM25|Asthma symptoms cough", US_national_yearly!$D:$AM, 10, FALSE), 1)</f>
        <v>3.7556368790276564E-3</v>
      </c>
      <c r="V6" s="7">
        <f>$B6 * IFERROR(VLOOKUP("transport|PM25|Asthma symptoms cough", US_national_yearly!$D:$AM, 30, FALSE) / VLOOKUP("transport|PM25|Asthma symptoms cough", US_national_yearly!$D:$AM, 10, FALSE), 1)</f>
        <v>3.7556368790276564E-3</v>
      </c>
      <c r="W6" s="7">
        <f>$B6 * IFERROR(VLOOKUP("transport|PM25|Asthma symptoms cough", US_national_yearly!$D:$AM, 31, FALSE) / VLOOKUP("transport|PM25|Asthma symptoms cough", US_national_yearly!$D:$AM, 10, FALSE), 1)</f>
        <v>3.7556368790276564E-3</v>
      </c>
      <c r="X6" s="7">
        <f>$B6 * IFERROR(VLOOKUP("transport|PM25|Asthma symptoms cough", US_national_yearly!$D:$AM, 32, FALSE) / VLOOKUP("transport|PM25|Asthma symptoms cough", US_national_yearly!$D:$AM, 10, FALSE), 1)</f>
        <v>3.7556368790276564E-3</v>
      </c>
      <c r="Y6" s="7">
        <f>$B6 * IFERROR(VLOOKUP("transport|PM25|Asthma symptoms cough", US_national_yearly!$D:$AM, 33, FALSE) / VLOOKUP("transport|PM25|Asthma symptoms cough", US_national_yearly!$D:$AM, 10, FALSE), 1)</f>
        <v>3.7556368790276564E-3</v>
      </c>
      <c r="Z6" s="7">
        <f>$B6 * IFERROR(VLOOKUP("transport|PM25|Asthma symptoms cough", US_national_yearly!$D:$AM, 34, FALSE) / VLOOKUP("transport|PM25|Asthma symptoms cough", US_national_yearly!$D:$AM, 10, FALSE), 1)</f>
        <v>3.7556368790276564E-3</v>
      </c>
      <c r="AA6" s="7">
        <f>$B6 * IFERROR(VLOOKUP("transport|PM25|Asthma symptoms cough", US_national_yearly!$D:$AM, 35, FALSE) / VLOOKUP("transport|PM25|Asthma symptoms cough", US_national_yearly!$D:$AM, 10, FALSE), 1)</f>
        <v>3.7556368790276564E-3</v>
      </c>
      <c r="AB6" s="7">
        <f>$B6 * IFERROR(VLOOKUP("transport|PM25|Asthma symptoms cough", US_national_yearly!$D:$AM, 36, FALSE) / VLOOKUP("transport|PM25|Asthma symptoms cough", US_national_yearly!$D:$AM, 10, FALSE), 1)</f>
        <v>3.7556368790276564E-3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5.0575010688297499E-3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5.0575010688297499E-3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5.0575010688297499E-3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5.0575010688297499E-3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5.0575010688297499E-3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5.0575010688297499E-3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5.0575010688297499E-3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5.0575010688297499E-3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5.0575010688297499E-3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5.0575010688297499E-3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5.0575010688297499E-3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5.0575010688297499E-3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5.0575010688297499E-3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5.0575010688297499E-3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5.0575010688297499E-3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5.0575010688297499E-3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5.0575010688297499E-3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5.0575010688297499E-3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5.0575010688297499E-3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5.0575010688297499E-3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5.0575010688297499E-3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5.0575010688297499E-3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5.0575010688297499E-3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5.0575010688297499E-3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5.0575010688297499E-3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5.0575010688297499E-3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5.0575010688297499E-3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7.7270364465094367E-3</v>
      </c>
      <c r="C8" s="7">
        <f>$B8 * IFERROR(VLOOKUP("transport|PM25|Asthma symptoms wheeze", US_national_yearly!$D:$AM, 11, FALSE) / VLOOKUP("transport|PM25|Asthma symptoms wheeze", US_national_yearly!$D:$AM, 10, FALSE), 1)</f>
        <v>7.7270364465094367E-3</v>
      </c>
      <c r="D8" s="7">
        <f>$B8 * IFERROR(VLOOKUP("transport|PM25|Asthma symptoms wheeze", US_national_yearly!$D:$AM, 12, FALSE) / VLOOKUP("transport|PM25|Asthma symptoms wheeze", US_national_yearly!$D:$AM, 10, FALSE), 1)</f>
        <v>7.7270364465094367E-3</v>
      </c>
      <c r="E8" s="7">
        <f>$B8 * IFERROR(VLOOKUP("transport|PM25|Asthma symptoms wheeze", US_national_yearly!$D:$AM, 13, FALSE) / VLOOKUP("transport|PM25|Asthma symptoms wheeze", US_national_yearly!$D:$AM, 10, FALSE), 1)</f>
        <v>7.7270364465094367E-3</v>
      </c>
      <c r="F8" s="7">
        <f>$B8 * IFERROR(VLOOKUP("transport|PM25|Asthma symptoms wheeze", US_national_yearly!$D:$AM, 14, FALSE) / VLOOKUP("transport|PM25|Asthma symptoms wheeze", US_national_yearly!$D:$AM, 10, FALSE), 1)</f>
        <v>7.7270364465094367E-3</v>
      </c>
      <c r="G8" s="7">
        <f>$B8 * IFERROR(VLOOKUP("transport|PM25|Asthma symptoms wheeze", US_national_yearly!$D:$AM, 15, FALSE) / VLOOKUP("transport|PM25|Asthma symptoms wheeze", US_national_yearly!$D:$AM, 10, FALSE), 1)</f>
        <v>7.7270364465094367E-3</v>
      </c>
      <c r="H8" s="7">
        <f>$B8 * IFERROR(VLOOKUP("transport|PM25|Asthma symptoms wheeze", US_national_yearly!$D:$AM, 16, FALSE) / VLOOKUP("transport|PM25|Asthma symptoms wheeze", US_national_yearly!$D:$AM, 10, FALSE), 1)</f>
        <v>7.7270364465094367E-3</v>
      </c>
      <c r="I8" s="7">
        <f>$B8 * IFERROR(VLOOKUP("transport|PM25|Asthma symptoms wheeze", US_national_yearly!$D:$AM, 17, FALSE) / VLOOKUP("transport|PM25|Asthma symptoms wheeze", US_national_yearly!$D:$AM, 10, FALSE), 1)</f>
        <v>7.7270364465094367E-3</v>
      </c>
      <c r="J8" s="7">
        <f>$B8 * IFERROR(VLOOKUP("transport|PM25|Asthma symptoms wheeze", US_national_yearly!$D:$AM, 18, FALSE) / VLOOKUP("transport|PM25|Asthma symptoms wheeze", US_national_yearly!$D:$AM, 10, FALSE), 1)</f>
        <v>7.7270364465094367E-3</v>
      </c>
      <c r="K8" s="7">
        <f>$B8 * IFERROR(VLOOKUP("transport|PM25|Asthma symptoms wheeze", US_national_yearly!$D:$AM, 19, FALSE) / VLOOKUP("transport|PM25|Asthma symptoms wheeze", US_national_yearly!$D:$AM, 10, FALSE), 1)</f>
        <v>7.7270364465094367E-3</v>
      </c>
      <c r="L8" s="7">
        <f>$B8 * IFERROR(VLOOKUP("transport|PM25|Asthma symptoms wheeze", US_national_yearly!$D:$AM, 20, FALSE) / VLOOKUP("transport|PM25|Asthma symptoms wheeze", US_national_yearly!$D:$AM, 10, FALSE), 1)</f>
        <v>7.7270364465094367E-3</v>
      </c>
      <c r="M8" s="7">
        <f>$B8 * IFERROR(VLOOKUP("transport|PM25|Asthma symptoms wheeze", US_national_yearly!$D:$AM, 21, FALSE) / VLOOKUP("transport|PM25|Asthma symptoms wheeze", US_national_yearly!$D:$AM, 10, FALSE), 1)</f>
        <v>7.7270364465094367E-3</v>
      </c>
      <c r="N8" s="7">
        <f>$B8 * IFERROR(VLOOKUP("transport|PM25|Asthma symptoms wheeze", US_national_yearly!$D:$AM, 22, FALSE) / VLOOKUP("transport|PM25|Asthma symptoms wheeze", US_national_yearly!$D:$AM, 10, FALSE), 1)</f>
        <v>7.7270364465094367E-3</v>
      </c>
      <c r="O8" s="7">
        <f>$B8 * IFERROR(VLOOKUP("transport|PM25|Asthma symptoms wheeze", US_national_yearly!$D:$AM, 23, FALSE) / VLOOKUP("transport|PM25|Asthma symptoms wheeze", US_national_yearly!$D:$AM, 10, FALSE), 1)</f>
        <v>7.7270364465094367E-3</v>
      </c>
      <c r="P8" s="7">
        <f>$B8 * IFERROR(VLOOKUP("transport|PM25|Asthma symptoms wheeze", US_national_yearly!$D:$AM, 24, FALSE) / VLOOKUP("transport|PM25|Asthma symptoms wheeze", US_national_yearly!$D:$AM, 10, FALSE), 1)</f>
        <v>7.7270364465094367E-3</v>
      </c>
      <c r="Q8" s="7">
        <f>$B8 * IFERROR(VLOOKUP("transport|PM25|Asthma symptoms wheeze", US_national_yearly!$D:$AM, 25, FALSE) / VLOOKUP("transport|PM25|Asthma symptoms wheeze", US_national_yearly!$D:$AM, 10, FALSE), 1)</f>
        <v>7.7270364465094367E-3</v>
      </c>
      <c r="R8" s="7">
        <f>$B8 * IFERROR(VLOOKUP("transport|PM25|Asthma symptoms wheeze", US_national_yearly!$D:$AM, 26, FALSE) / VLOOKUP("transport|PM25|Asthma symptoms wheeze", US_national_yearly!$D:$AM, 10, FALSE), 1)</f>
        <v>7.7270364465094367E-3</v>
      </c>
      <c r="S8" s="7">
        <f>$B8 * IFERROR(VLOOKUP("transport|PM25|Asthma symptoms wheeze", US_national_yearly!$D:$AM, 27, FALSE) / VLOOKUP("transport|PM25|Asthma symptoms wheeze", US_national_yearly!$D:$AM, 10, FALSE), 1)</f>
        <v>7.7270364465094367E-3</v>
      </c>
      <c r="T8" s="7">
        <f>$B8 * IFERROR(VLOOKUP("transport|PM25|Asthma symptoms wheeze", US_national_yearly!$D:$AM, 28, FALSE) / VLOOKUP("transport|PM25|Asthma symptoms wheeze", US_national_yearly!$D:$AM, 10, FALSE), 1)</f>
        <v>7.7270364465094367E-3</v>
      </c>
      <c r="U8" s="7">
        <f>$B8 * IFERROR(VLOOKUP("transport|PM25|Asthma symptoms wheeze", US_national_yearly!$D:$AM, 29, FALSE) / VLOOKUP("transport|PM25|Asthma symptoms wheeze", US_national_yearly!$D:$AM, 10, FALSE), 1)</f>
        <v>7.7270364465094367E-3</v>
      </c>
      <c r="V8" s="7">
        <f>$B8 * IFERROR(VLOOKUP("transport|PM25|Asthma symptoms wheeze", US_national_yearly!$D:$AM, 30, FALSE) / VLOOKUP("transport|PM25|Asthma symptoms wheeze", US_national_yearly!$D:$AM, 10, FALSE), 1)</f>
        <v>7.7270364465094367E-3</v>
      </c>
      <c r="W8" s="7">
        <f>$B8 * IFERROR(VLOOKUP("transport|PM25|Asthma symptoms wheeze", US_national_yearly!$D:$AM, 31, FALSE) / VLOOKUP("transport|PM25|Asthma symptoms wheeze", US_national_yearly!$D:$AM, 10, FALSE), 1)</f>
        <v>7.7270364465094367E-3</v>
      </c>
      <c r="X8" s="7">
        <f>$B8 * IFERROR(VLOOKUP("transport|PM25|Asthma symptoms wheeze", US_national_yearly!$D:$AM, 32, FALSE) / VLOOKUP("transport|PM25|Asthma symptoms wheeze", US_national_yearly!$D:$AM, 10, FALSE), 1)</f>
        <v>7.7270364465094367E-3</v>
      </c>
      <c r="Y8" s="7">
        <f>$B8 * IFERROR(VLOOKUP("transport|PM25|Asthma symptoms wheeze", US_national_yearly!$D:$AM, 33, FALSE) / VLOOKUP("transport|PM25|Asthma symptoms wheeze", US_national_yearly!$D:$AM, 10, FALSE), 1)</f>
        <v>7.7270364465094367E-3</v>
      </c>
      <c r="Z8" s="7">
        <f>$B8 * IFERROR(VLOOKUP("transport|PM25|Asthma symptoms wheeze", US_national_yearly!$D:$AM, 34, FALSE) / VLOOKUP("transport|PM25|Asthma symptoms wheeze", US_national_yearly!$D:$AM, 10, FALSE), 1)</f>
        <v>7.7270364465094367E-3</v>
      </c>
      <c r="AA8" s="7">
        <f>$B8 * IFERROR(VLOOKUP("transport|PM25|Asthma symptoms wheeze", US_national_yearly!$D:$AM, 35, FALSE) / VLOOKUP("transport|PM25|Asthma symptoms wheeze", US_national_yearly!$D:$AM, 10, FALSE), 1)</f>
        <v>7.7270364465094367E-3</v>
      </c>
      <c r="AB8" s="7">
        <f>$B8 * IFERROR(VLOOKUP("transport|PM25|Asthma symptoms wheeze", US_national_yearly!$D:$AM, 36, FALSE) / VLOOKUP("transport|PM25|Asthma symptoms wheeze", US_national_yearly!$D:$AM, 10, FALSE), 1)</f>
        <v>7.7270364465094367E-3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7.4179180584791433E-5</v>
      </c>
      <c r="C12" s="7">
        <f>$B12 * IFERROR(VLOOKUP("transport|PM25|Respiratory hospital admissions", US_national_yearly!$D:$AM, 11, FALSE) / VLOOKUP("transport|PM25|Respiratory hospital admissions", US_national_yearly!$D:$AM, 10, FALSE), 1)</f>
        <v>7.4604345749469005E-5</v>
      </c>
      <c r="D12" s="7">
        <f>$B12 * IFERROR(VLOOKUP("transport|PM25|Respiratory hospital admissions", US_national_yearly!$D:$AM, 12, FALSE) / VLOOKUP("transport|PM25|Respiratory hospital admissions", US_national_yearly!$D:$AM, 10, FALSE), 1)</f>
        <v>7.502951091414655E-5</v>
      </c>
      <c r="E12" s="7">
        <f>$B12 * IFERROR(VLOOKUP("transport|PM25|Respiratory hospital admissions", US_national_yearly!$D:$AM, 13, FALSE) / VLOOKUP("transport|PM25|Respiratory hospital admissions", US_national_yearly!$D:$AM, 10, FALSE), 1)</f>
        <v>7.5454676078824109E-5</v>
      </c>
      <c r="F12" s="7">
        <f>$B12 * IFERROR(VLOOKUP("transport|PM25|Respiratory hospital admissions", US_national_yearly!$D:$AM, 14, FALSE) / VLOOKUP("transport|PM25|Respiratory hospital admissions", US_national_yearly!$D:$AM, 10, FALSE), 1)</f>
        <v>7.5879841243501668E-5</v>
      </c>
      <c r="G12" s="7">
        <f>$B12 * IFERROR(VLOOKUP("transport|PM25|Respiratory hospital admissions", US_national_yearly!$D:$AM, 15, FALSE) / VLOOKUP("transport|PM25|Respiratory hospital admissions", US_national_yearly!$D:$AM, 10, FALSE), 1)</f>
        <v>7.6339037756890729E-5</v>
      </c>
      <c r="H12" s="7">
        <f>$B12 * IFERROR(VLOOKUP("transport|PM25|Respiratory hospital admissions", US_national_yearly!$D:$AM, 16, FALSE) / VLOOKUP("transport|PM25|Respiratory hospital admissions", US_national_yearly!$D:$AM, 10, FALSE), 1)</f>
        <v>7.6798234270279803E-5</v>
      </c>
      <c r="I12" s="7">
        <f>$B12 * IFERROR(VLOOKUP("transport|PM25|Respiratory hospital admissions", US_national_yearly!$D:$AM, 17, FALSE) / VLOOKUP("transport|PM25|Respiratory hospital admissions", US_national_yearly!$D:$AM, 10, FALSE), 1)</f>
        <v>7.7236979092334826E-5</v>
      </c>
      <c r="J12" s="7">
        <f>$B12 * IFERROR(VLOOKUP("transport|PM25|Respiratory hospital admissions", US_national_yearly!$D:$AM, 18, FALSE) / VLOOKUP("transport|PM25|Respiratory hospital admissions", US_national_yearly!$D:$AM, 10, FALSE), 1)</f>
        <v>7.767572391438989E-5</v>
      </c>
      <c r="K12" s="7">
        <f>$B12 * IFERROR(VLOOKUP("transport|PM25|Respiratory hospital admissions", US_national_yearly!$D:$AM, 19, FALSE) / VLOOKUP("transport|PM25|Respiratory hospital admissions", US_national_yearly!$D:$AM, 10, FALSE), 1)</f>
        <v>7.8114468736444927E-5</v>
      </c>
      <c r="L12" s="7">
        <f>$B12 * IFERROR(VLOOKUP("transport|PM25|Respiratory hospital admissions", US_national_yearly!$D:$AM, 20, FALSE) / VLOOKUP("transport|PM25|Respiratory hospital admissions", US_national_yearly!$D:$AM, 10, FALSE), 1)</f>
        <v>7.8553213558499977E-5</v>
      </c>
      <c r="M12" s="7">
        <f>$B12 * IFERROR(VLOOKUP("transport|PM25|Respiratory hospital admissions", US_national_yearly!$D:$AM, 21, FALSE) / VLOOKUP("transport|PM25|Respiratory hospital admissions", US_national_yearly!$D:$AM, 10, FALSE), 1)</f>
        <v>7.8991958380555E-5</v>
      </c>
      <c r="N12" s="7">
        <f>$B12 * IFERROR(VLOOKUP("transport|PM25|Respiratory hospital admissions", US_national_yearly!$D:$AM, 22, FALSE) / VLOOKUP("transport|PM25|Respiratory hospital admissions", US_national_yearly!$D:$AM, 10, FALSE), 1)</f>
        <v>7.9306858342720294E-5</v>
      </c>
      <c r="O12" s="7">
        <f>$B12 * IFERROR(VLOOKUP("transport|PM25|Respiratory hospital admissions", US_national_yearly!$D:$AM, 23, FALSE) / VLOOKUP("transport|PM25|Respiratory hospital admissions", US_national_yearly!$D:$AM, 10, FALSE), 1)</f>
        <v>7.9621758304885561E-5</v>
      </c>
      <c r="P12" s="7">
        <f>$B12 * IFERROR(VLOOKUP("transport|PM25|Respiratory hospital admissions", US_national_yearly!$D:$AM, 24, FALSE) / VLOOKUP("transport|PM25|Respiratory hospital admissions", US_national_yearly!$D:$AM, 10, FALSE), 1)</f>
        <v>7.9936658267050815E-5</v>
      </c>
      <c r="Q12" s="7">
        <f>$B12 * IFERROR(VLOOKUP("transport|PM25|Respiratory hospital admissions", US_national_yearly!$D:$AM, 25, FALSE) / VLOOKUP("transport|PM25|Respiratory hospital admissions", US_national_yearly!$D:$AM, 10, FALSE), 1)</f>
        <v>8.0251558229216082E-5</v>
      </c>
      <c r="R12" s="7">
        <f>$B12 * IFERROR(VLOOKUP("transport|PM25|Respiratory hospital admissions", US_national_yearly!$D:$AM, 26, FALSE) / VLOOKUP("transport|PM25|Respiratory hospital admissions", US_national_yearly!$D:$AM, 10, FALSE), 1)</f>
        <v>8.0566458191381362E-5</v>
      </c>
      <c r="S12" s="7">
        <f>$B12 * IFERROR(VLOOKUP("transport|PM25|Respiratory hospital admissions", US_national_yearly!$D:$AM, 27, FALSE) / VLOOKUP("transport|PM25|Respiratory hospital admissions", US_national_yearly!$D:$AM, 10, FALSE), 1)</f>
        <v>8.0866284449060017E-5</v>
      </c>
      <c r="T12" s="7">
        <f>$B12 * IFERROR(VLOOKUP("transport|PM25|Respiratory hospital admissions", US_national_yearly!$D:$AM, 28, FALSE) / VLOOKUP("transport|PM25|Respiratory hospital admissions", US_national_yearly!$D:$AM, 10, FALSE), 1)</f>
        <v>8.1166110706738673E-5</v>
      </c>
      <c r="U12" s="7">
        <f>$B12 * IFERROR(VLOOKUP("transport|PM25|Respiratory hospital admissions", US_national_yearly!$D:$AM, 29, FALSE) / VLOOKUP("transport|PM25|Respiratory hospital admissions", US_national_yearly!$D:$AM, 10, FALSE), 1)</f>
        <v>8.1465936964417328E-5</v>
      </c>
      <c r="V12" s="7">
        <f>$B12 * IFERROR(VLOOKUP("transport|PM25|Respiratory hospital admissions", US_national_yearly!$D:$AM, 30, FALSE) / VLOOKUP("transport|PM25|Respiratory hospital admissions", US_national_yearly!$D:$AM, 10, FALSE), 1)</f>
        <v>8.176576322209597E-5</v>
      </c>
      <c r="W12" s="7">
        <f>$B12 * IFERROR(VLOOKUP("transport|PM25|Respiratory hospital admissions", US_national_yearly!$D:$AM, 31, FALSE) / VLOOKUP("transport|PM25|Respiratory hospital admissions", US_national_yearly!$D:$AM, 10, FALSE), 1)</f>
        <v>8.2065589479774626E-5</v>
      </c>
      <c r="X12" s="7">
        <f>$B12 * IFERROR(VLOOKUP("transport|PM25|Respiratory hospital admissions", US_national_yearly!$D:$AM, 32, FALSE) / VLOOKUP("transport|PM25|Respiratory hospital admissions", US_national_yearly!$D:$AM, 10, FALSE), 1)</f>
        <v>8.2354026164296252E-5</v>
      </c>
      <c r="Y12" s="7">
        <f>$B12 * IFERROR(VLOOKUP("transport|PM25|Respiratory hospital admissions", US_national_yearly!$D:$AM, 33, FALSE) / VLOOKUP("transport|PM25|Respiratory hospital admissions", US_national_yearly!$D:$AM, 10, FALSE), 1)</f>
        <v>8.2642462848817852E-5</v>
      </c>
      <c r="Z12" s="7">
        <f>$B12 * IFERROR(VLOOKUP("transport|PM25|Respiratory hospital admissions", US_national_yearly!$D:$AM, 34, FALSE) / VLOOKUP("transport|PM25|Respiratory hospital admissions", US_national_yearly!$D:$AM, 10, FALSE), 1)</f>
        <v>8.2930899533339465E-5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8.3219336217861065E-5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8.3507772902382678E-5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1.0943531295573552E-4</v>
      </c>
      <c r="C13" s="7">
        <f>$B13 * IFERROR(VLOOKUP("transport|PM25|Non-fatal heart attacks", US_national_yearly!$D:$AM, 11, FALSE) / VLOOKUP("transport|PM25|Non-fatal heart attacks", US_national_yearly!$D:$AM, 10, FALSE), 1)</f>
        <v>1.1261688791144215E-4</v>
      </c>
      <c r="D13" s="7">
        <f>$B13 * IFERROR(VLOOKUP("transport|PM25|Non-fatal heart attacks", US_national_yearly!$D:$AM, 12, FALSE) / VLOOKUP("transport|PM25|Non-fatal heart attacks", US_national_yearly!$D:$AM, 10, FALSE), 1)</f>
        <v>1.1579846286714878E-4</v>
      </c>
      <c r="E13" s="7">
        <f>$B13 * IFERROR(VLOOKUP("transport|PM25|Non-fatal heart attacks", US_national_yearly!$D:$AM, 13, FALSE) / VLOOKUP("transport|PM25|Non-fatal heart attacks", US_national_yearly!$D:$AM, 10, FALSE), 1)</f>
        <v>1.1898003782285539E-4</v>
      </c>
      <c r="F13" s="7">
        <f>$B13 * IFERROR(VLOOKUP("transport|PM25|Non-fatal heart attacks", US_national_yearly!$D:$AM, 14, FALSE) / VLOOKUP("transport|PM25|Non-fatal heart attacks", US_national_yearly!$D:$AM, 10, FALSE), 1)</f>
        <v>1.2216161277856205E-4</v>
      </c>
      <c r="G13" s="7">
        <f>$B13 * IFERROR(VLOOKUP("transport|PM25|Non-fatal heart attacks", US_national_yearly!$D:$AM, 15, FALSE) / VLOOKUP("transport|PM25|Non-fatal heart attacks", US_national_yearly!$D:$AM, 10, FALSE), 1)</f>
        <v>1.2516203909706267E-4</v>
      </c>
      <c r="H13" s="7">
        <f>$B13 * IFERROR(VLOOKUP("transport|PM25|Non-fatal heart attacks", US_national_yearly!$D:$AM, 16, FALSE) / VLOOKUP("transport|PM25|Non-fatal heart attacks", US_national_yearly!$D:$AM, 10, FALSE), 1)</f>
        <v>1.2816246541556324E-4</v>
      </c>
      <c r="I13" s="7">
        <f>$B13 * IFERROR(VLOOKUP("transport|PM25|Non-fatal heart attacks", US_national_yearly!$D:$AM, 17, FALSE) / VLOOKUP("transport|PM25|Non-fatal heart attacks", US_national_yearly!$D:$AM, 10, FALSE), 1)</f>
        <v>1.3057380976876133E-4</v>
      </c>
      <c r="J13" s="7">
        <f>$B13 * IFERROR(VLOOKUP("transport|PM25|Non-fatal heart attacks", US_national_yearly!$D:$AM, 18, FALSE) / VLOOKUP("transport|PM25|Non-fatal heart attacks", US_national_yearly!$D:$AM, 10, FALSE), 1)</f>
        <v>1.3298515412195943E-4</v>
      </c>
      <c r="K13" s="7">
        <f>$B13 * IFERROR(VLOOKUP("transport|PM25|Non-fatal heart attacks", US_national_yearly!$D:$AM, 19, FALSE) / VLOOKUP("transport|PM25|Non-fatal heart attacks", US_national_yearly!$D:$AM, 10, FALSE), 1)</f>
        <v>1.3539649847515756E-4</v>
      </c>
      <c r="L13" s="7">
        <f>$B13 * IFERROR(VLOOKUP("transport|PM25|Non-fatal heart attacks", US_national_yearly!$D:$AM, 20, FALSE) / VLOOKUP("transport|PM25|Non-fatal heart attacks", US_national_yearly!$D:$AM, 10, FALSE), 1)</f>
        <v>1.3780784282835565E-4</v>
      </c>
      <c r="M13" s="7">
        <f>$B13 * IFERROR(VLOOKUP("transport|PM25|Non-fatal heart attacks", US_national_yearly!$D:$AM, 21, FALSE) / VLOOKUP("transport|PM25|Non-fatal heart attacks", US_national_yearly!$D:$AM, 10, FALSE), 1)</f>
        <v>1.4021918718155378E-4</v>
      </c>
      <c r="N13" s="7">
        <f>$B13 * IFERROR(VLOOKUP("transport|PM25|Non-fatal heart attacks", US_national_yearly!$D:$AM, 22, FALSE) / VLOOKUP("transport|PM25|Non-fatal heart attacks", US_national_yearly!$D:$AM, 10, FALSE), 1)</f>
        <v>1.4177426618001174E-4</v>
      </c>
      <c r="O13" s="7">
        <f>$B13 * IFERROR(VLOOKUP("transport|PM25|Non-fatal heart attacks", US_national_yearly!$D:$AM, 23, FALSE) / VLOOKUP("transport|PM25|Non-fatal heart attacks", US_national_yearly!$D:$AM, 10, FALSE), 1)</f>
        <v>1.4332934517846972E-4</v>
      </c>
      <c r="P13" s="7">
        <f>$B13 * IFERROR(VLOOKUP("transport|PM25|Non-fatal heart attacks", US_national_yearly!$D:$AM, 24, FALSE) / VLOOKUP("transport|PM25|Non-fatal heart attacks", US_national_yearly!$D:$AM, 10, FALSE), 1)</f>
        <v>1.4488442417692768E-4</v>
      </c>
      <c r="Q13" s="7">
        <f>$B13 * IFERROR(VLOOKUP("transport|PM25|Non-fatal heart attacks", US_national_yearly!$D:$AM, 25, FALSE) / VLOOKUP("transport|PM25|Non-fatal heart attacks", US_national_yearly!$D:$AM, 10, FALSE), 1)</f>
        <v>1.4643950317538563E-4</v>
      </c>
      <c r="R13" s="7">
        <f>$B13 * IFERROR(VLOOKUP("transport|PM25|Non-fatal heart attacks", US_national_yearly!$D:$AM, 26, FALSE) / VLOOKUP("transport|PM25|Non-fatal heart attacks", US_national_yearly!$D:$AM, 10, FALSE), 1)</f>
        <v>1.4799458217384362E-4</v>
      </c>
      <c r="S13" s="7">
        <f>$B13 * IFERROR(VLOOKUP("transport|PM25|Non-fatal heart attacks", US_national_yearly!$D:$AM, 27, FALSE) / VLOOKUP("transport|PM25|Non-fatal heart attacks", US_national_yearly!$D:$AM, 10, FALSE), 1)</f>
        <v>1.488135312026995E-4</v>
      </c>
      <c r="T13" s="7">
        <f>$B13 * IFERROR(VLOOKUP("transport|PM25|Non-fatal heart attacks", US_national_yearly!$D:$AM, 28, FALSE) / VLOOKUP("transport|PM25|Non-fatal heart attacks", US_national_yearly!$D:$AM, 10, FALSE), 1)</f>
        <v>1.4963248023155542E-4</v>
      </c>
      <c r="U13" s="7">
        <f>$B13 * IFERROR(VLOOKUP("transport|PM25|Non-fatal heart attacks", US_national_yearly!$D:$AM, 29, FALSE) / VLOOKUP("transport|PM25|Non-fatal heart attacks", US_national_yearly!$D:$AM, 10, FALSE), 1)</f>
        <v>1.5045142926041136E-4</v>
      </c>
      <c r="V13" s="7">
        <f>$B13 * IFERROR(VLOOKUP("transport|PM25|Non-fatal heart attacks", US_national_yearly!$D:$AM, 30, FALSE) / VLOOKUP("transport|PM25|Non-fatal heart attacks", US_national_yearly!$D:$AM, 10, FALSE), 1)</f>
        <v>1.5127037828926724E-4</v>
      </c>
      <c r="W13" s="7">
        <f>$B13 * IFERROR(VLOOKUP("transport|PM25|Non-fatal heart attacks", US_national_yearly!$D:$AM, 31, FALSE) / VLOOKUP("transport|PM25|Non-fatal heart attacks", US_national_yearly!$D:$AM, 10, FALSE), 1)</f>
        <v>1.5208932731812315E-4</v>
      </c>
      <c r="X13" s="7">
        <f>$B13 * IFERROR(VLOOKUP("transport|PM25|Non-fatal heart attacks", US_national_yearly!$D:$AM, 32, FALSE) / VLOOKUP("transport|PM25|Non-fatal heart attacks", US_national_yearly!$D:$AM, 10, FALSE), 1)</f>
        <v>1.5271102804862065E-4</v>
      </c>
      <c r="Y13" s="7">
        <f>$B13 * IFERROR(VLOOKUP("transport|PM25|Non-fatal heart attacks", US_national_yearly!$D:$AM, 33, FALSE) / VLOOKUP("transport|PM25|Non-fatal heart attacks", US_national_yearly!$D:$AM, 10, FALSE), 1)</f>
        <v>1.5333272877911816E-4</v>
      </c>
      <c r="Z13" s="7">
        <f>$B13 * IFERROR(VLOOKUP("transport|PM25|Non-fatal heart attacks", US_national_yearly!$D:$AM, 34, FALSE) / VLOOKUP("transport|PM25|Non-fatal heart attacks", US_national_yearly!$D:$AM, 10, FALSE), 1)</f>
        <v>1.5395442950961563E-4</v>
      </c>
      <c r="AA13" s="7">
        <f>$B13 * IFERROR(VLOOKUP("transport|PM25|Non-fatal heart attacks", US_national_yearly!$D:$AM, 35, FALSE) / VLOOKUP("transport|PM25|Non-fatal heart attacks", US_national_yearly!$D:$AM, 10, FALSE), 1)</f>
        <v>1.5457613024011315E-4</v>
      </c>
      <c r="AB13" s="7">
        <f>$B13 * IFERROR(VLOOKUP("transport|PM25|Non-fatal heart attacks", US_national_yearly!$D:$AM, 36, FALSE) / VLOOKUP("transport|PM25|Non-fatal heart attacks", US_national_yearly!$D:$AM, 10, FALSE), 1)</f>
        <v>1.5519783097061064E-4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0.45710795487335065</v>
      </c>
      <c r="C14" s="7">
        <f>$B14 * IFERROR(VLOOKUP("transport|PM25|Minor restricted activity days", US_national_yearly!$D:$AM, 11, FALSE) / VLOOKUP("transport|PM25|Minor restricted activity days", US_national_yearly!$D:$AM, 10, FALSE), 1)</f>
        <v>0.45822426670798777</v>
      </c>
      <c r="D14" s="7">
        <f>$B14 * IFERROR(VLOOKUP("transport|PM25|Minor restricted activity days", US_national_yearly!$D:$AM, 12, FALSE) / VLOOKUP("transport|PM25|Minor restricted activity days", US_national_yearly!$D:$AM, 10, FALSE), 1)</f>
        <v>0.45934057854262483</v>
      </c>
      <c r="E14" s="7">
        <f>$B14 * IFERROR(VLOOKUP("transport|PM25|Minor restricted activity days", US_national_yearly!$D:$AM, 13, FALSE) / VLOOKUP("transport|PM25|Minor restricted activity days", US_national_yearly!$D:$AM, 10, FALSE), 1)</f>
        <v>0.46045689037726206</v>
      </c>
      <c r="F14" s="7">
        <f>$B14 * IFERROR(VLOOKUP("transport|PM25|Minor restricted activity days", US_national_yearly!$D:$AM, 14, FALSE) / VLOOKUP("transport|PM25|Minor restricted activity days", US_national_yearly!$D:$AM, 10, FALSE), 1)</f>
        <v>0.46157320221189907</v>
      </c>
      <c r="G14" s="7">
        <f>$B14 * IFERROR(VLOOKUP("transport|PM25|Minor restricted activity days", US_national_yearly!$D:$AM, 15, FALSE) / VLOOKUP("transport|PM25|Minor restricted activity days", US_national_yearly!$D:$AM, 10, FALSE), 1)</f>
        <v>0.46322028691558798</v>
      </c>
      <c r="H14" s="7">
        <f>$B14 * IFERROR(VLOOKUP("transport|PM25|Minor restricted activity days", US_national_yearly!$D:$AM, 16, FALSE) / VLOOKUP("transport|PM25|Minor restricted activity days", US_national_yearly!$D:$AM, 10, FALSE), 1)</f>
        <v>0.46486737161927688</v>
      </c>
      <c r="I14" s="7">
        <f>$B14 * IFERROR(VLOOKUP("transport|PM25|Minor restricted activity days", US_national_yearly!$D:$AM, 17, FALSE) / VLOOKUP("transport|PM25|Minor restricted activity days", US_national_yearly!$D:$AM, 10, FALSE), 1)</f>
        <v>0.46768313221445496</v>
      </c>
      <c r="J14" s="7">
        <f>$B14 * IFERROR(VLOOKUP("transport|PM25|Minor restricted activity days", US_national_yearly!$D:$AM, 18, FALSE) / VLOOKUP("transport|PM25|Minor restricted activity days", US_national_yearly!$D:$AM, 10, FALSE), 1)</f>
        <v>0.47049889280963275</v>
      </c>
      <c r="K14" s="7">
        <f>$B14 * IFERROR(VLOOKUP("transport|PM25|Minor restricted activity days", US_national_yearly!$D:$AM, 19, FALSE) / VLOOKUP("transport|PM25|Minor restricted activity days", US_national_yearly!$D:$AM, 10, FALSE), 1)</f>
        <v>0.47331465340481077</v>
      </c>
      <c r="L14" s="7">
        <f>$B14 * IFERROR(VLOOKUP("transport|PM25|Minor restricted activity days", US_national_yearly!$D:$AM, 20, FALSE) / VLOOKUP("transport|PM25|Minor restricted activity days", US_national_yearly!$D:$AM, 10, FALSE), 1)</f>
        <v>0.47613041399998873</v>
      </c>
      <c r="M14" s="7">
        <f>$B14 * IFERROR(VLOOKUP("transport|PM25|Minor restricted activity days", US_national_yearly!$D:$AM, 21, FALSE) / VLOOKUP("transport|PM25|Minor restricted activity days", US_national_yearly!$D:$AM, 10, FALSE), 1)</f>
        <v>0.47894617459516664</v>
      </c>
      <c r="N14" s="7">
        <f>$B14 * IFERROR(VLOOKUP("transport|PM25|Minor restricted activity days", US_national_yearly!$D:$AM, 22, FALSE) / VLOOKUP("transport|PM25|Minor restricted activity days", US_national_yearly!$D:$AM, 10, FALSE), 1)</f>
        <v>0.4827818011427365</v>
      </c>
      <c r="O14" s="7">
        <f>$B14 * IFERROR(VLOOKUP("transport|PM25|Minor restricted activity days", US_national_yearly!$D:$AM, 23, FALSE) / VLOOKUP("transport|PM25|Minor restricted activity days", US_national_yearly!$D:$AM, 10, FALSE), 1)</f>
        <v>0.4866174276903063</v>
      </c>
      <c r="P14" s="7">
        <f>$B14 * IFERROR(VLOOKUP("transport|PM25|Minor restricted activity days", US_national_yearly!$D:$AM, 24, FALSE) / VLOOKUP("transport|PM25|Minor restricted activity days", US_national_yearly!$D:$AM, 10, FALSE), 1)</f>
        <v>0.49045305423787616</v>
      </c>
      <c r="Q14" s="7">
        <f>$B14 * IFERROR(VLOOKUP("transport|PM25|Minor restricted activity days", US_national_yearly!$D:$AM, 25, FALSE) / VLOOKUP("transport|PM25|Minor restricted activity days", US_national_yearly!$D:$AM, 10, FALSE), 1)</f>
        <v>0.49428868078544591</v>
      </c>
      <c r="R14" s="7">
        <f>$B14 * IFERROR(VLOOKUP("transport|PM25|Minor restricted activity days", US_national_yearly!$D:$AM, 26, FALSE) / VLOOKUP("transport|PM25|Minor restricted activity days", US_national_yearly!$D:$AM, 10, FALSE), 1)</f>
        <v>0.49812430733301566</v>
      </c>
      <c r="S14" s="7">
        <f>$B14 * IFERROR(VLOOKUP("transport|PM25|Minor restricted activity days", US_national_yearly!$D:$AM, 27, FALSE) / VLOOKUP("transport|PM25|Minor restricted activity days", US_national_yearly!$D:$AM, 10, FALSE), 1)</f>
        <v>0.50198634858376279</v>
      </c>
      <c r="T14" s="7">
        <f>$B14 * IFERROR(VLOOKUP("transport|PM25|Minor restricted activity days", US_national_yearly!$D:$AM, 28, FALSE) / VLOOKUP("transport|PM25|Minor restricted activity days", US_national_yearly!$D:$AM, 10, FALSE), 1)</f>
        <v>0.50584838983450997</v>
      </c>
      <c r="U14" s="7">
        <f>$B14 * IFERROR(VLOOKUP("transport|PM25|Minor restricted activity days", US_national_yearly!$D:$AM, 29, FALSE) / VLOOKUP("transport|PM25|Minor restricted activity days", US_national_yearly!$D:$AM, 10, FALSE), 1)</f>
        <v>0.50971043108525704</v>
      </c>
      <c r="V14" s="7">
        <f>$B14 * IFERROR(VLOOKUP("transport|PM25|Minor restricted activity days", US_national_yearly!$D:$AM, 30, FALSE) / VLOOKUP("transport|PM25|Minor restricted activity days", US_national_yearly!$D:$AM, 10, FALSE), 1)</f>
        <v>0.51357247233600423</v>
      </c>
      <c r="W14" s="7">
        <f>$B14 * IFERROR(VLOOKUP("transport|PM25|Minor restricted activity days", US_national_yearly!$D:$AM, 31, FALSE) / VLOOKUP("transport|PM25|Minor restricted activity days", US_national_yearly!$D:$AM, 10, FALSE), 1)</f>
        <v>0.5174345135867513</v>
      </c>
      <c r="X14" s="7">
        <f>$B14 * IFERROR(VLOOKUP("transport|PM25|Minor restricted activity days", US_national_yearly!$D:$AM, 32, FALSE) / VLOOKUP("transport|PM25|Minor restricted activity days", US_national_yearly!$D:$AM, 10, FALSE), 1)</f>
        <v>0.52078715392114183</v>
      </c>
      <c r="Y14" s="7">
        <f>$B14 * IFERROR(VLOOKUP("transport|PM25|Minor restricted activity days", US_national_yearly!$D:$AM, 33, FALSE) / VLOOKUP("transport|PM25|Minor restricted activity days", US_national_yearly!$D:$AM, 10, FALSE), 1)</f>
        <v>0.52413979425553248</v>
      </c>
      <c r="Z14" s="7">
        <f>$B14 * IFERROR(VLOOKUP("transport|PM25|Minor restricted activity days", US_national_yearly!$D:$AM, 34, FALSE) / VLOOKUP("transport|PM25|Minor restricted activity days", US_national_yearly!$D:$AM, 10, FALSE), 1)</f>
        <v>0.52749243458992301</v>
      </c>
      <c r="AA14" s="7">
        <f>$B14 * IFERROR(VLOOKUP("transport|PM25|Minor restricted activity days", US_national_yearly!$D:$AM, 35, FALSE) / VLOOKUP("transport|PM25|Minor restricted activity days", US_national_yearly!$D:$AM, 10, FALSE), 1)</f>
        <v>0.53084507492431343</v>
      </c>
      <c r="AB14" s="7">
        <f>$B14 * IFERROR(VLOOKUP("transport|PM25|Minor restricted activity days", US_national_yearly!$D:$AM, 36, FALSE) / VLOOKUP("transport|PM25|Minor restricted activity days", US_national_yearly!$D:$AM, 10, FALSE), 1)</f>
        <v>0.53419771525870396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7.7308991813413372E-2</v>
      </c>
      <c r="C15" s="7">
        <f>$B15 * IFERROR(VLOOKUP("transport|PM25|Work loss days", US_national_yearly!$D:$AM, 11, FALSE) / VLOOKUP("transport|PM25|Work loss days", US_national_yearly!$D:$AM, 10, FALSE), 1)</f>
        <v>7.7548621843593887E-2</v>
      </c>
      <c r="D15" s="7">
        <f>$B15 * IFERROR(VLOOKUP("transport|PM25|Work loss days", US_national_yearly!$D:$AM, 12, FALSE) / VLOOKUP("transport|PM25|Work loss days", US_national_yearly!$D:$AM, 10, FALSE), 1)</f>
        <v>7.7788251873774417E-2</v>
      </c>
      <c r="E15" s="7">
        <f>$B15 * IFERROR(VLOOKUP("transport|PM25|Work loss days", US_national_yearly!$D:$AM, 13, FALSE) / VLOOKUP("transport|PM25|Work loss days", US_national_yearly!$D:$AM, 10, FALSE), 1)</f>
        <v>7.8027881903954932E-2</v>
      </c>
      <c r="F15" s="7">
        <f>$B15 * IFERROR(VLOOKUP("transport|PM25|Work loss days", US_national_yearly!$D:$AM, 14, FALSE) / VLOOKUP("transport|PM25|Work loss days", US_national_yearly!$D:$AM, 10, FALSE), 1)</f>
        <v>7.8267511934135447E-2</v>
      </c>
      <c r="G15" s="7">
        <f>$B15 * IFERROR(VLOOKUP("transport|PM25|Work loss days", US_national_yearly!$D:$AM, 15, FALSE) / VLOOKUP("transport|PM25|Work loss days", US_national_yearly!$D:$AM, 10, FALSE), 1)</f>
        <v>7.8581682194724167E-2</v>
      </c>
      <c r="H15" s="7">
        <f>$B15 * IFERROR(VLOOKUP("transport|PM25|Work loss days", US_national_yearly!$D:$AM, 16, FALSE) / VLOOKUP("transport|PM25|Work loss days", US_national_yearly!$D:$AM, 10, FALSE), 1)</f>
        <v>7.8895852455312901E-2</v>
      </c>
      <c r="I15" s="7">
        <f>$B15 * IFERROR(VLOOKUP("transport|PM25|Work loss days", US_national_yearly!$D:$AM, 17, FALSE) / VLOOKUP("transport|PM25|Work loss days", US_national_yearly!$D:$AM, 10, FALSE), 1)</f>
        <v>7.9358502718016949E-2</v>
      </c>
      <c r="J15" s="7">
        <f>$B15 * IFERROR(VLOOKUP("transport|PM25|Work loss days", US_national_yearly!$D:$AM, 18, FALSE) / VLOOKUP("transport|PM25|Work loss days", US_national_yearly!$D:$AM, 10, FALSE), 1)</f>
        <v>7.9821152980721011E-2</v>
      </c>
      <c r="K15" s="7">
        <f>$B15 * IFERROR(VLOOKUP("transport|PM25|Work loss days", US_national_yearly!$D:$AM, 19, FALSE) / VLOOKUP("transport|PM25|Work loss days", US_national_yearly!$D:$AM, 10, FALSE), 1)</f>
        <v>8.0283803243425059E-2</v>
      </c>
      <c r="L15" s="7">
        <f>$B15 * IFERROR(VLOOKUP("transport|PM25|Work loss days", US_national_yearly!$D:$AM, 20, FALSE) / VLOOKUP("transport|PM25|Work loss days", US_national_yearly!$D:$AM, 10, FALSE), 1)</f>
        <v>8.0746453506129121E-2</v>
      </c>
      <c r="M15" s="7">
        <f>$B15 * IFERROR(VLOOKUP("transport|PM25|Work loss days", US_national_yearly!$D:$AM, 21, FALSE) / VLOOKUP("transport|PM25|Work loss days", US_national_yearly!$D:$AM, 10, FALSE), 1)</f>
        <v>8.1209103768833182E-2</v>
      </c>
      <c r="N15" s="7">
        <f>$B15 * IFERROR(VLOOKUP("transport|PM25|Work loss days", US_national_yearly!$D:$AM, 22, FALSE) / VLOOKUP("transport|PM25|Work loss days", US_national_yearly!$D:$AM, 10, FALSE), 1)</f>
        <v>8.1791384141889939E-2</v>
      </c>
      <c r="O15" s="7">
        <f>$B15 * IFERROR(VLOOKUP("transport|PM25|Work loss days", US_national_yearly!$D:$AM, 23, FALSE) / VLOOKUP("transport|PM25|Work loss days", US_national_yearly!$D:$AM, 10, FALSE), 1)</f>
        <v>8.2373664514946682E-2</v>
      </c>
      <c r="P15" s="7">
        <f>$B15 * IFERROR(VLOOKUP("transport|PM25|Work loss days", US_national_yearly!$D:$AM, 24, FALSE) / VLOOKUP("transport|PM25|Work loss days", US_national_yearly!$D:$AM, 10, FALSE), 1)</f>
        <v>8.2955944888003438E-2</v>
      </c>
      <c r="Q15" s="7">
        <f>$B15 * IFERROR(VLOOKUP("transport|PM25|Work loss days", US_national_yearly!$D:$AM, 25, FALSE) / VLOOKUP("transport|PM25|Work loss days", US_national_yearly!$D:$AM, 10, FALSE), 1)</f>
        <v>8.3538225261060181E-2</v>
      </c>
      <c r="R15" s="7">
        <f>$B15 * IFERROR(VLOOKUP("transport|PM25|Work loss days", US_national_yearly!$D:$AM, 26, FALSE) / VLOOKUP("transport|PM25|Work loss days", US_national_yearly!$D:$AM, 10, FALSE), 1)</f>
        <v>8.4120505634116938E-2</v>
      </c>
      <c r="S15" s="7">
        <f>$B15 * IFERROR(VLOOKUP("transport|PM25|Work loss days", US_national_yearly!$D:$AM, 27, FALSE) / VLOOKUP("transport|PM25|Work loss days", US_national_yearly!$D:$AM, 10, FALSE), 1)</f>
        <v>8.4764532586277502E-2</v>
      </c>
      <c r="T15" s="7">
        <f>$B15 * IFERROR(VLOOKUP("transport|PM25|Work loss days", US_national_yearly!$D:$AM, 28, FALSE) / VLOOKUP("transport|PM25|Work loss days", US_national_yearly!$D:$AM, 10, FALSE), 1)</f>
        <v>8.5408559538438081E-2</v>
      </c>
      <c r="U15" s="7">
        <f>$B15 * IFERROR(VLOOKUP("transport|PM25|Work loss days", US_national_yearly!$D:$AM, 29, FALSE) / VLOOKUP("transport|PM25|Work loss days", US_national_yearly!$D:$AM, 10, FALSE), 1)</f>
        <v>8.6052586490598632E-2</v>
      </c>
      <c r="V15" s="7">
        <f>$B15 * IFERROR(VLOOKUP("transport|PM25|Work loss days", US_national_yearly!$D:$AM, 30, FALSE) / VLOOKUP("transport|PM25|Work loss days", US_national_yearly!$D:$AM, 10, FALSE), 1)</f>
        <v>8.669661344275921E-2</v>
      </c>
      <c r="W15" s="7">
        <f>$B15 * IFERROR(VLOOKUP("transport|PM25|Work loss days", US_national_yearly!$D:$AM, 31, FALSE) / VLOOKUP("transport|PM25|Work loss days", US_national_yearly!$D:$AM, 10, FALSE), 1)</f>
        <v>8.7340640394919775E-2</v>
      </c>
      <c r="X15" s="7">
        <f>$B15 * IFERROR(VLOOKUP("transport|PM25|Work loss days", US_national_yearly!$D:$AM, 32, FALSE) / VLOOKUP("transport|PM25|Work loss days", US_national_yearly!$D:$AM, 10, FALSE), 1)</f>
        <v>8.7912065997888103E-2</v>
      </c>
      <c r="Y15" s="7">
        <f>$B15 * IFERROR(VLOOKUP("transport|PM25|Work loss days", US_national_yearly!$D:$AM, 33, FALSE) / VLOOKUP("transport|PM25|Work loss days", US_national_yearly!$D:$AM, 10, FALSE), 1)</f>
        <v>8.8483491600856432E-2</v>
      </c>
      <c r="Z15" s="7">
        <f>$B15 * IFERROR(VLOOKUP("transport|PM25|Work loss days", US_national_yearly!$D:$AM, 34, FALSE) / VLOOKUP("transport|PM25|Work loss days", US_national_yearly!$D:$AM, 10, FALSE), 1)</f>
        <v>8.9054917203824788E-2</v>
      </c>
      <c r="AA15" s="7">
        <f>$B15 * IFERROR(VLOOKUP("transport|PM25|Work loss days", US_national_yearly!$D:$AM, 35, FALSE) / VLOOKUP("transport|PM25|Work loss days", US_national_yearly!$D:$AM, 10, FALSE), 1)</f>
        <v>8.962634280679313E-2</v>
      </c>
      <c r="AB15" s="7">
        <f>$B15 * IFERROR(VLOOKUP("transport|PM25|Work loss days", US_national_yearly!$D:$AM, 36, FALSE) / VLOOKUP("transport|PM25|Work loss days", US_national_yearly!$D:$AM, 10, FALSE), 1)</f>
        <v>9.0197768409761458E-2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1.2731156233850458E-4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1.3111572059767751E-4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1.3491987885685044E-4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1.387240371160234E-4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1.4252819537519636E-4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1.4617189946305575E-4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1.4981560355091519E-4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1.5293189933422629E-4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1.5604819511753736E-4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1.5916449090084842E-4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1.6228078668415954E-4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1.6539708246747061E-4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1.6747478801539125E-4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1.6955249356331194E-4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1.7163019911123258E-4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1.7370790465915325E-4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1.7578561020707391E-4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1.7688491041873444E-4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1.7798421063039494E-4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1.7908351084205542E-4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1.8018281105371592E-4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1.8128211126537642E-4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1.820221746280284E-4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1.8276223799068038E-4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1.8350230135333239E-4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1.8424236471598437E-4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1.8498242807863635E-4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9.7395129758938022E-5</v>
      </c>
      <c r="C2" s="7">
        <f>$B2 * IFERROR(VLOOKUP("transport|NOx|Premature mortality", US_national_yearly!$D:$AM, 11, FALSE) / VLOOKUP("transport|NOx|Premature mortality", US_national_yearly!$D:$AM, 10, FALSE), 1)</f>
        <v>9.8825699592659997E-5</v>
      </c>
      <c r="D2" s="7">
        <f>$B2 * IFERROR(VLOOKUP("transport|NOx|Premature mortality", US_national_yearly!$D:$AM, 12, FALSE) / VLOOKUP("transport|NOx|Premature mortality", US_national_yearly!$D:$AM, 10, FALSE), 1)</f>
        <v>1.0025626942638193E-4</v>
      </c>
      <c r="E2" s="7">
        <f>$B2 * IFERROR(VLOOKUP("transport|NOx|Premature mortality", US_national_yearly!$D:$AM, 13, FALSE) / VLOOKUP("transport|NOx|Premature mortality", US_national_yearly!$D:$AM, 10, FALSE), 1)</f>
        <v>1.0168683926010391E-4</v>
      </c>
      <c r="F2" s="7">
        <f>$B2 * IFERROR(VLOOKUP("transport|NOx|Premature mortality", US_national_yearly!$D:$AM, 14, FALSE) / VLOOKUP("transport|NOx|Premature mortality", US_national_yearly!$D:$AM, 10, FALSE), 1)</f>
        <v>1.0311740909382588E-4</v>
      </c>
      <c r="G2" s="7">
        <f>$B2 * IFERROR(VLOOKUP("transport|NOx|Premature mortality", US_national_yearly!$D:$AM, 15, FALSE) / VLOOKUP("transport|NOx|Premature mortality", US_national_yearly!$D:$AM, 10, FALSE), 1)</f>
        <v>1.0568705073652519E-4</v>
      </c>
      <c r="H2" s="7">
        <f>$B2 * IFERROR(VLOOKUP("transport|NOx|Premature mortality", US_national_yearly!$D:$AM, 16, FALSE) / VLOOKUP("transport|NOx|Premature mortality", US_national_yearly!$D:$AM, 10, FALSE), 1)</f>
        <v>1.0825669237922455E-4</v>
      </c>
      <c r="I2" s="7">
        <f>$B2 * IFERROR(VLOOKUP("transport|NOx|Premature mortality", US_national_yearly!$D:$AM, 17, FALSE) / VLOOKUP("transport|NOx|Premature mortality", US_national_yearly!$D:$AM, 10, FALSE), 1)</f>
        <v>1.0991544480218134E-4</v>
      </c>
      <c r="J2" s="7">
        <f>$B2 * IFERROR(VLOOKUP("transport|NOx|Premature mortality", US_national_yearly!$D:$AM, 18, FALSE) / VLOOKUP("transport|NOx|Premature mortality", US_national_yearly!$D:$AM, 10, FALSE), 1)</f>
        <v>1.1157419722513817E-4</v>
      </c>
      <c r="K2" s="7">
        <f>$B2 * IFERROR(VLOOKUP("transport|NOx|Premature mortality", US_national_yearly!$D:$AM, 19, FALSE) / VLOOKUP("transport|NOx|Premature mortality", US_national_yearly!$D:$AM, 10, FALSE), 1)</f>
        <v>1.1323294964809497E-4</v>
      </c>
      <c r="L2" s="7">
        <f>$B2 * IFERROR(VLOOKUP("transport|NOx|Premature mortality", US_national_yearly!$D:$AM, 20, FALSE) / VLOOKUP("transport|NOx|Premature mortality", US_national_yearly!$D:$AM, 10, FALSE), 1)</f>
        <v>1.1489170207105178E-4</v>
      </c>
      <c r="M2" s="7">
        <f>$B2 * IFERROR(VLOOKUP("transport|NOx|Premature mortality", US_national_yearly!$D:$AM, 21, FALSE) / VLOOKUP("transport|NOx|Premature mortality", US_national_yearly!$D:$AM, 10, FALSE), 1)</f>
        <v>1.1655045449400859E-4</v>
      </c>
      <c r="N2" s="7">
        <f>$B2 * IFERROR(VLOOKUP("transport|NOx|Premature mortality", US_national_yearly!$D:$AM, 22, FALSE) / VLOOKUP("transport|NOx|Premature mortality", US_national_yearly!$D:$AM, 10, FALSE), 1)</f>
        <v>1.1777925184046246E-4</v>
      </c>
      <c r="O2" s="7">
        <f>$B2 * IFERROR(VLOOKUP("transport|NOx|Premature mortality", US_national_yearly!$D:$AM, 23, FALSE) / VLOOKUP("transport|NOx|Premature mortality", US_national_yearly!$D:$AM, 10, FALSE), 1)</f>
        <v>1.1900804918691634E-4</v>
      </c>
      <c r="P2" s="7">
        <f>$B2 * IFERROR(VLOOKUP("transport|NOx|Premature mortality", US_national_yearly!$D:$AM, 24, FALSE) / VLOOKUP("transport|NOx|Premature mortality", US_national_yearly!$D:$AM, 10, FALSE), 1)</f>
        <v>1.2023684653337021E-4</v>
      </c>
      <c r="Q2" s="7">
        <f>$B2 * IFERROR(VLOOKUP("transport|NOx|Premature mortality", US_national_yearly!$D:$AM, 25, FALSE) / VLOOKUP("transport|NOx|Premature mortality", US_national_yearly!$D:$AM, 10, FALSE), 1)</f>
        <v>1.214656438798241E-4</v>
      </c>
      <c r="R2" s="7">
        <f>$B2 * IFERROR(VLOOKUP("transport|NOx|Premature mortality", US_national_yearly!$D:$AM, 26, FALSE) / VLOOKUP("transport|NOx|Premature mortality", US_national_yearly!$D:$AM, 10, FALSE), 1)</f>
        <v>1.2269444122627797E-4</v>
      </c>
      <c r="S2" s="7">
        <f>$B2 * IFERROR(VLOOKUP("transport|NOx|Premature mortality", US_national_yearly!$D:$AM, 27, FALSE) / VLOOKUP("transport|NOx|Premature mortality", US_national_yearly!$D:$AM, 10, FALSE), 1)</f>
        <v>1.232529419940661E-4</v>
      </c>
      <c r="T2" s="7">
        <f>$B2 * IFERROR(VLOOKUP("transport|NOx|Premature mortality", US_national_yearly!$D:$AM, 28, FALSE) / VLOOKUP("transport|NOx|Premature mortality", US_national_yearly!$D:$AM, 10, FALSE), 1)</f>
        <v>1.2381144276185424E-4</v>
      </c>
      <c r="U2" s="7">
        <f>$B2 * IFERROR(VLOOKUP("transport|NOx|Premature mortality", US_national_yearly!$D:$AM, 29, FALSE) / VLOOKUP("transport|NOx|Premature mortality", US_national_yearly!$D:$AM, 10, FALSE), 1)</f>
        <v>1.2436994352964237E-4</v>
      </c>
      <c r="V2" s="7">
        <f>$B2 * IFERROR(VLOOKUP("transport|NOx|Premature mortality", US_national_yearly!$D:$AM, 30, FALSE) / VLOOKUP("transport|NOx|Premature mortality", US_national_yearly!$D:$AM, 10, FALSE), 1)</f>
        <v>1.2492844429743048E-4</v>
      </c>
      <c r="W2" s="7">
        <f>$B2 * IFERROR(VLOOKUP("transport|NOx|Premature mortality", US_national_yearly!$D:$AM, 31, FALSE) / VLOOKUP("transport|NOx|Premature mortality", US_national_yearly!$D:$AM, 10, FALSE), 1)</f>
        <v>1.2548694506521864E-4</v>
      </c>
      <c r="X2" s="7">
        <f>$B2 * IFERROR(VLOOKUP("transport|NOx|Premature mortality", US_national_yearly!$D:$AM, 32, FALSE) / VLOOKUP("transport|NOx|Premature mortality", US_national_yearly!$D:$AM, 10, FALSE), 1)</f>
        <v>1.2550629121123281E-4</v>
      </c>
      <c r="Y2" s="7">
        <f>$B2 * IFERROR(VLOOKUP("transport|NOx|Premature mortality", US_national_yearly!$D:$AM, 33, FALSE) / VLOOKUP("transport|NOx|Premature mortality", US_national_yearly!$D:$AM, 10, FALSE), 1)</f>
        <v>1.2552563735724698E-4</v>
      </c>
      <c r="Z2" s="7">
        <f>$B2 * IFERROR(VLOOKUP("transport|NOx|Premature mortality", US_national_yearly!$D:$AM, 34, FALSE) / VLOOKUP("transport|NOx|Premature mortality", US_national_yearly!$D:$AM, 10, FALSE), 1)</f>
        <v>1.2554498350326115E-4</v>
      </c>
      <c r="AA2" s="7">
        <f>$B2 * IFERROR(VLOOKUP("transport|NOx|Premature mortality", US_national_yearly!$D:$AM, 35, FALSE) / VLOOKUP("transport|NOx|Premature mortality", US_national_yearly!$D:$AM, 10, FALSE), 1)</f>
        <v>1.2556432964927534E-4</v>
      </c>
      <c r="AB2" s="7">
        <f>$B2 * IFERROR(VLOOKUP("transport|NOx|Premature mortality", US_national_yearly!$D:$AM, 36, FALSE) / VLOOKUP("transport|NOx|Premature mortality", US_national_yearly!$D:$AM, 10, FALSE), 1)</f>
        <v>1.2558367579528951E-4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1.9307685430825811E-7</v>
      </c>
      <c r="C3" s="7">
        <f>$B3 * IFERROR(VLOOKUP("transport|NOx|Infant mortality", US_national_yearly!$D:$AM, 11, FALSE) / VLOOKUP("transport|NOx|Infant mortality", US_national_yearly!$D:$AM, 10, FALSE), 1)</f>
        <v>1.912373052797716E-7</v>
      </c>
      <c r="D3" s="7">
        <f>$B3 * IFERROR(VLOOKUP("transport|NOx|Infant mortality", US_national_yearly!$D:$AM, 12, FALSE) / VLOOKUP("transport|NOx|Infant mortality", US_national_yearly!$D:$AM, 10, FALSE), 1)</f>
        <v>1.8939775625128508E-7</v>
      </c>
      <c r="E3" s="7">
        <f>$B3 * IFERROR(VLOOKUP("transport|NOx|Infant mortality", US_national_yearly!$D:$AM, 13, FALSE) / VLOOKUP("transport|NOx|Infant mortality", US_national_yearly!$D:$AM, 10, FALSE), 1)</f>
        <v>1.8755820722279857E-7</v>
      </c>
      <c r="F3" s="7">
        <f>$B3 * IFERROR(VLOOKUP("transport|NOx|Infant mortality", US_national_yearly!$D:$AM, 14, FALSE) / VLOOKUP("transport|NOx|Infant mortality", US_national_yearly!$D:$AM, 10, FALSE), 1)</f>
        <v>1.8571865819431206E-7</v>
      </c>
      <c r="G3" s="7">
        <f>$B3 * IFERROR(VLOOKUP("transport|NOx|Infant mortality", US_national_yearly!$D:$AM, 15, FALSE) / VLOOKUP("transport|NOx|Infant mortality", US_national_yearly!$D:$AM, 10, FALSE), 1)</f>
        <v>1.2328921627922132E-7</v>
      </c>
      <c r="H3" s="7">
        <f>$B3 * IFERROR(VLOOKUP("transport|NOx|Infant mortality", US_national_yearly!$D:$AM, 16, FALSE) / VLOOKUP("transport|NOx|Infant mortality", US_national_yearly!$D:$AM, 10, FALSE), 1)</f>
        <v>6.0859774364130575E-8</v>
      </c>
      <c r="I3" s="7">
        <f>$B3 * IFERROR(VLOOKUP("transport|NOx|Infant mortality", US_national_yearly!$D:$AM, 17, FALSE) / VLOOKUP("transport|NOx|Infant mortality", US_national_yearly!$D:$AM, 10, FALSE), 1)</f>
        <v>6.0429437650226816E-8</v>
      </c>
      <c r="J3" s="7">
        <f>$B3 * IFERROR(VLOOKUP("transport|NOx|Infant mortality", US_national_yearly!$D:$AM, 18, FALSE) / VLOOKUP("transport|NOx|Infant mortality", US_national_yearly!$D:$AM, 10, FALSE), 1)</f>
        <v>5.9999100936323043E-8</v>
      </c>
      <c r="K3" s="7">
        <f>$B3 * IFERROR(VLOOKUP("transport|NOx|Infant mortality", US_national_yearly!$D:$AM, 19, FALSE) / VLOOKUP("transport|NOx|Infant mortality", US_national_yearly!$D:$AM, 10, FALSE), 1)</f>
        <v>5.9568764222419291E-8</v>
      </c>
      <c r="L3" s="7">
        <f>$B3 * IFERROR(VLOOKUP("transport|NOx|Infant mortality", US_national_yearly!$D:$AM, 20, FALSE) / VLOOKUP("transport|NOx|Infant mortality", US_national_yearly!$D:$AM, 10, FALSE), 1)</f>
        <v>5.9138427508515532E-8</v>
      </c>
      <c r="M3" s="7">
        <f>$B3 * IFERROR(VLOOKUP("transport|NOx|Infant mortality", US_national_yearly!$D:$AM, 21, FALSE) / VLOOKUP("transport|NOx|Infant mortality", US_national_yearly!$D:$AM, 10, FALSE), 1)</f>
        <v>5.8708090794611767E-8</v>
      </c>
      <c r="N3" s="7">
        <f>$B3 * IFERROR(VLOOKUP("transport|NOx|Infant mortality", US_national_yearly!$D:$AM, 22, FALSE) / VLOOKUP("transport|NOx|Infant mortality", US_national_yearly!$D:$AM, 10, FALSE), 1)</f>
        <v>5.842245127736968E-8</v>
      </c>
      <c r="O3" s="7">
        <f>$B3 * IFERROR(VLOOKUP("transport|NOx|Infant mortality", US_national_yearly!$D:$AM, 23, FALSE) / VLOOKUP("transport|NOx|Infant mortality", US_national_yearly!$D:$AM, 10, FALSE), 1)</f>
        <v>5.8136811760127601E-8</v>
      </c>
      <c r="P3" s="7">
        <f>$B3 * IFERROR(VLOOKUP("transport|NOx|Infant mortality", US_national_yearly!$D:$AM, 24, FALSE) / VLOOKUP("transport|NOx|Infant mortality", US_national_yearly!$D:$AM, 10, FALSE), 1)</f>
        <v>5.7851172242885515E-8</v>
      </c>
      <c r="Q3" s="7">
        <f>$B3 * IFERROR(VLOOKUP("transport|NOx|Infant mortality", US_national_yearly!$D:$AM, 25, FALSE) / VLOOKUP("transport|NOx|Infant mortality", US_national_yearly!$D:$AM, 10, FALSE), 1)</f>
        <v>5.7565532725643435E-8</v>
      </c>
      <c r="R3" s="7">
        <f>$B3 * IFERROR(VLOOKUP("transport|NOx|Infant mortality", US_national_yearly!$D:$AM, 26, FALSE) / VLOOKUP("transport|NOx|Infant mortality", US_national_yearly!$D:$AM, 10, FALSE), 1)</f>
        <v>5.7279893208401349E-8</v>
      </c>
      <c r="S3" s="7">
        <f>$B3 * IFERROR(VLOOKUP("transport|NOx|Infant mortality", US_national_yearly!$D:$AM, 27, FALSE) / VLOOKUP("transport|NOx|Infant mortality", US_national_yearly!$D:$AM, 10, FALSE), 1)</f>
        <v>5.6936509085187547E-8</v>
      </c>
      <c r="T3" s="7">
        <f>$B3 * IFERROR(VLOOKUP("transport|NOx|Infant mortality", US_national_yearly!$D:$AM, 28, FALSE) / VLOOKUP("transport|NOx|Infant mortality", US_national_yearly!$D:$AM, 10, FALSE), 1)</f>
        <v>5.6593124961973752E-8</v>
      </c>
      <c r="U3" s="7">
        <f>$B3 * IFERROR(VLOOKUP("transport|NOx|Infant mortality", US_national_yearly!$D:$AM, 29, FALSE) / VLOOKUP("transport|NOx|Infant mortality", US_national_yearly!$D:$AM, 10, FALSE), 1)</f>
        <v>5.6249740838759951E-8</v>
      </c>
      <c r="V3" s="7">
        <f>$B3 * IFERROR(VLOOKUP("transport|NOx|Infant mortality", US_national_yearly!$D:$AM, 30, FALSE) / VLOOKUP("transport|NOx|Infant mortality", US_national_yearly!$D:$AM, 10, FALSE), 1)</f>
        <v>5.5906356715546149E-8</v>
      </c>
      <c r="W3" s="7">
        <f>$B3 * IFERROR(VLOOKUP("transport|NOx|Infant mortality", US_national_yearly!$D:$AM, 31, FALSE) / VLOOKUP("transport|NOx|Infant mortality", US_national_yearly!$D:$AM, 10, FALSE), 1)</f>
        <v>5.5562972592332347E-8</v>
      </c>
      <c r="X3" s="7">
        <f>$B3 * IFERROR(VLOOKUP("transport|NOx|Infant mortality", US_national_yearly!$D:$AM, 32, FALSE) / VLOOKUP("transport|NOx|Infant mortality", US_national_yearly!$D:$AM, 10, FALSE), 1)</f>
        <v>5.5199312200470481E-8</v>
      </c>
      <c r="Y3" s="7">
        <f>$B3 * IFERROR(VLOOKUP("transport|NOx|Infant mortality", US_national_yearly!$D:$AM, 33, FALSE) / VLOOKUP("transport|NOx|Infant mortality", US_national_yearly!$D:$AM, 10, FALSE), 1)</f>
        <v>5.4835651808608601E-8</v>
      </c>
      <c r="Z3" s="7">
        <f>$B3 * IFERROR(VLOOKUP("transport|NOx|Infant mortality", US_national_yearly!$D:$AM, 34, FALSE) / VLOOKUP("transport|NOx|Infant mortality", US_national_yearly!$D:$AM, 10, FALSE), 1)</f>
        <v>5.4471991416746722E-8</v>
      </c>
      <c r="AA3" s="7">
        <f>$B3 * IFERROR(VLOOKUP("transport|NOx|Infant mortality", US_national_yearly!$D:$AM, 35, FALSE) / VLOOKUP("transport|NOx|Infant mortality", US_national_yearly!$D:$AM, 10, FALSE), 1)</f>
        <v>5.4108331024884836E-8</v>
      </c>
      <c r="AB3" s="7">
        <f>$B3 * IFERROR(VLOOKUP("transport|NOx|Infant mortality", US_national_yearly!$D:$AM, 36, FALSE) / VLOOKUP("transport|NOx|Infant mortality", US_national_yearly!$D:$AM, 10, FALSE), 1)</f>
        <v>5.3744670633022956E-8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2.1299192450626727E-4</v>
      </c>
      <c r="C6" s="7">
        <f>$B6 * IFERROR(VLOOKUP("transport|NOx|Asthma symptoms cough", US_national_yearly!$D:$AM, 11, FALSE) / VLOOKUP("transport|NOx|Asthma symptoms cough", US_national_yearly!$D:$AM, 10, FALSE), 1)</f>
        <v>2.1590387234228002E-4</v>
      </c>
      <c r="D6" s="7">
        <f>$B6 * IFERROR(VLOOKUP("transport|NOx|Asthma symptoms cough", US_national_yearly!$D:$AM, 12, FALSE) / VLOOKUP("transport|NOx|Asthma symptoms cough", US_national_yearly!$D:$AM, 10, FALSE), 1)</f>
        <v>2.1881582017829279E-4</v>
      </c>
      <c r="E6" s="7">
        <f>$B6 * IFERROR(VLOOKUP("transport|NOx|Asthma symptoms cough", US_national_yearly!$D:$AM, 13, FALSE) / VLOOKUP("transport|NOx|Asthma symptoms cough", US_national_yearly!$D:$AM, 10, FALSE), 1)</f>
        <v>2.2172776801430554E-4</v>
      </c>
      <c r="F6" s="7">
        <f>$B6 * IFERROR(VLOOKUP("transport|NOx|Asthma symptoms cough", US_national_yearly!$D:$AM, 14, FALSE) / VLOOKUP("transport|NOx|Asthma symptoms cough", US_national_yearly!$D:$AM, 10, FALSE), 1)</f>
        <v>2.2463971585031831E-4</v>
      </c>
      <c r="G6" s="7">
        <f>$B6 * IFERROR(VLOOKUP("transport|NOx|Asthma symptoms cough", US_national_yearly!$D:$AM, 15, FALSE) / VLOOKUP("transport|NOx|Asthma symptoms cough", US_national_yearly!$D:$AM, 10, FALSE), 1)</f>
        <v>2.2696449928015557E-4</v>
      </c>
      <c r="H6" s="7">
        <f>$B6 * IFERROR(VLOOKUP("transport|NOx|Asthma symptoms cough", US_national_yearly!$D:$AM, 16, FALSE) / VLOOKUP("transport|NOx|Asthma symptoms cough", US_national_yearly!$D:$AM, 10, FALSE), 1)</f>
        <v>2.2928928270999287E-4</v>
      </c>
      <c r="I6" s="7">
        <f>$B6 * IFERROR(VLOOKUP("transport|NOx|Asthma symptoms cough", US_national_yearly!$D:$AM, 17, FALSE) / VLOOKUP("transport|NOx|Asthma symptoms cough", US_national_yearly!$D:$AM, 10, FALSE), 1)</f>
        <v>2.3008943993201711E-4</v>
      </c>
      <c r="J6" s="7">
        <f>$B6 * IFERROR(VLOOKUP("transport|NOx|Asthma symptoms cough", US_national_yearly!$D:$AM, 18, FALSE) / VLOOKUP("transport|NOx|Asthma symptoms cough", US_national_yearly!$D:$AM, 10, FALSE), 1)</f>
        <v>2.3088959715404138E-4</v>
      </c>
      <c r="K6" s="7">
        <f>$B6 * IFERROR(VLOOKUP("transport|NOx|Asthma symptoms cough", US_national_yearly!$D:$AM, 19, FALSE) / VLOOKUP("transport|NOx|Asthma symptoms cough", US_national_yearly!$D:$AM, 10, FALSE), 1)</f>
        <v>2.3168975437606559E-4</v>
      </c>
      <c r="L6" s="7">
        <f>$B6 * IFERROR(VLOOKUP("transport|NOx|Asthma symptoms cough", US_national_yearly!$D:$AM, 20, FALSE) / VLOOKUP("transport|NOx|Asthma symptoms cough", US_national_yearly!$D:$AM, 10, FALSE), 1)</f>
        <v>2.3248991159808982E-4</v>
      </c>
      <c r="M6" s="7">
        <f>$B6 * IFERROR(VLOOKUP("transport|NOx|Asthma symptoms cough", US_national_yearly!$D:$AM, 21, FALSE) / VLOOKUP("transport|NOx|Asthma symptoms cough", US_national_yearly!$D:$AM, 10, FALSE), 1)</f>
        <v>2.3329006882011409E-4</v>
      </c>
      <c r="N6" s="7">
        <f>$B6 * IFERROR(VLOOKUP("transport|NOx|Asthma symptoms cough", US_national_yearly!$D:$AM, 22, FALSE) / VLOOKUP("transport|NOx|Asthma symptoms cough", US_national_yearly!$D:$AM, 10, FALSE), 1)</f>
        <v>2.3421791070457477E-4</v>
      </c>
      <c r="O6" s="7">
        <f>$B6 * IFERROR(VLOOKUP("transport|NOx|Asthma symptoms cough", US_national_yearly!$D:$AM, 23, FALSE) / VLOOKUP("transport|NOx|Asthma symptoms cough", US_national_yearly!$D:$AM, 10, FALSE), 1)</f>
        <v>2.3514575258903544E-4</v>
      </c>
      <c r="P6" s="7">
        <f>$B6 * IFERROR(VLOOKUP("transport|NOx|Asthma symptoms cough", US_national_yearly!$D:$AM, 24, FALSE) / VLOOKUP("transport|NOx|Asthma symptoms cough", US_national_yearly!$D:$AM, 10, FALSE), 1)</f>
        <v>2.3607359447349615E-4</v>
      </c>
      <c r="Q6" s="7">
        <f>$B6 * IFERROR(VLOOKUP("transport|NOx|Asthma symptoms cough", US_national_yearly!$D:$AM, 25, FALSE) / VLOOKUP("transport|NOx|Asthma symptoms cough", US_national_yearly!$D:$AM, 10, FALSE), 1)</f>
        <v>2.3700143635795688E-4</v>
      </c>
      <c r="R6" s="7">
        <f>$B6 * IFERROR(VLOOKUP("transport|NOx|Asthma symptoms cough", US_national_yearly!$D:$AM, 26, FALSE) / VLOOKUP("transport|NOx|Asthma symptoms cough", US_national_yearly!$D:$AM, 10, FALSE), 1)</f>
        <v>2.3792927824241756E-4</v>
      </c>
      <c r="S6" s="7">
        <f>$B6 * IFERROR(VLOOKUP("transport|NOx|Asthma symptoms cough", US_national_yearly!$D:$AM, 27, FALSE) / VLOOKUP("transport|NOx|Asthma symptoms cough", US_national_yearly!$D:$AM, 10, FALSE), 1)</f>
        <v>2.3914133525897367E-4</v>
      </c>
      <c r="T6" s="7">
        <f>$B6 * IFERROR(VLOOKUP("transport|NOx|Asthma symptoms cough", US_national_yearly!$D:$AM, 28, FALSE) / VLOOKUP("transport|NOx|Asthma symptoms cough", US_national_yearly!$D:$AM, 10, FALSE), 1)</f>
        <v>2.4035339227552975E-4</v>
      </c>
      <c r="U6" s="7">
        <f>$B6 * IFERROR(VLOOKUP("transport|NOx|Asthma symptoms cough", US_national_yearly!$D:$AM, 29, FALSE) / VLOOKUP("transport|NOx|Asthma symptoms cough", US_national_yearly!$D:$AM, 10, FALSE), 1)</f>
        <v>2.4156544929208575E-4</v>
      </c>
      <c r="V6" s="7">
        <f>$B6 * IFERROR(VLOOKUP("transport|NOx|Asthma symptoms cough", US_national_yearly!$D:$AM, 30, FALSE) / VLOOKUP("transport|NOx|Asthma symptoms cough", US_national_yearly!$D:$AM, 10, FALSE), 1)</f>
        <v>2.4277750630864189E-4</v>
      </c>
      <c r="W6" s="7">
        <f>$B6 * IFERROR(VLOOKUP("transport|NOx|Asthma symptoms cough", US_national_yearly!$D:$AM, 31, FALSE) / VLOOKUP("transport|NOx|Asthma symptoms cough", US_national_yearly!$D:$AM, 10, FALSE), 1)</f>
        <v>2.4398956332519794E-4</v>
      </c>
      <c r="X6" s="7">
        <f>$B6 * IFERROR(VLOOKUP("transport|NOx|Asthma symptoms cough", US_national_yearly!$D:$AM, 32, FALSE) / VLOOKUP("transport|NOx|Asthma symptoms cough", US_national_yearly!$D:$AM, 10, FALSE), 1)</f>
        <v>2.4511573844865478E-4</v>
      </c>
      <c r="Y6" s="7">
        <f>$B6 * IFERROR(VLOOKUP("transport|NOx|Asthma symptoms cough", US_national_yearly!$D:$AM, 33, FALSE) / VLOOKUP("transport|NOx|Asthma symptoms cough", US_national_yearly!$D:$AM, 10, FALSE), 1)</f>
        <v>2.4624191357211164E-4</v>
      </c>
      <c r="Z6" s="7">
        <f>$B6 * IFERROR(VLOOKUP("transport|NOx|Asthma symptoms cough", US_national_yearly!$D:$AM, 34, FALSE) / VLOOKUP("transport|NOx|Asthma symptoms cough", US_national_yearly!$D:$AM, 10, FALSE), 1)</f>
        <v>2.473680886955685E-4</v>
      </c>
      <c r="AA6" s="7">
        <f>$B6 * IFERROR(VLOOKUP("transport|NOx|Asthma symptoms cough", US_national_yearly!$D:$AM, 35, FALSE) / VLOOKUP("transport|NOx|Asthma symptoms cough", US_national_yearly!$D:$AM, 10, FALSE), 1)</f>
        <v>2.4849426381902536E-4</v>
      </c>
      <c r="AB6" s="7">
        <f>$B6 * IFERROR(VLOOKUP("transport|NOx|Asthma symptoms cough", US_national_yearly!$D:$AM, 36, FALSE) / VLOOKUP("transport|NOx|Asthma symptoms cough", US_national_yearly!$D:$AM, 10, FALSE), 1)</f>
        <v>2.4962043894248228E-4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2.8682242930867726E-4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2.9074376085036843E-4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2.9466509239205955E-4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2.9858642393375072E-4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3.025077554754419E-4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3.0563839073970009E-4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3.0876902600395829E-4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3.0984654590176798E-4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3.1092406579957767E-4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3.1200158569738736E-4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3.1307910559519704E-4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3.1415662549300673E-4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3.1540609005871142E-4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3.1665555462441611E-4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3.1790501919012074E-4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3.1915448375582537E-4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3.2040394832153006E-4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3.2203614700042983E-4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3.2366834567932961E-4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3.2530054435822933E-4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3.26932743037129E-4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3.2856494171602872E-4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3.3008148881108842E-4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3.3159803590614812E-4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3.3311458300120788E-4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3.3463113009626758E-4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3.3614767719132728E-4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4.382235634548557E-4</v>
      </c>
      <c r="C8" s="7">
        <f>$B8 * IFERROR(VLOOKUP("transport|NOx|Asthma symptoms wheeze", US_national_yearly!$D:$AM, 11, FALSE) / VLOOKUP("transport|NOx|Asthma symptoms wheeze", US_national_yearly!$D:$AM, 10, FALSE), 1)</f>
        <v>4.4421479604271033E-4</v>
      </c>
      <c r="D8" s="7">
        <f>$B8 * IFERROR(VLOOKUP("transport|NOx|Asthma symptoms wheeze", US_national_yearly!$D:$AM, 12, FALSE) / VLOOKUP("transport|NOx|Asthma symptoms wheeze", US_national_yearly!$D:$AM, 10, FALSE), 1)</f>
        <v>4.5020602863056513E-4</v>
      </c>
      <c r="E8" s="7">
        <f>$B8 * IFERROR(VLOOKUP("transport|NOx|Asthma symptoms wheeze", US_national_yearly!$D:$AM, 13, FALSE) / VLOOKUP("transport|NOx|Asthma symptoms wheeze", US_national_yearly!$D:$AM, 10, FALSE), 1)</f>
        <v>4.5619726121841976E-4</v>
      </c>
      <c r="F8" s="7">
        <f>$B8 * IFERROR(VLOOKUP("transport|NOx|Asthma symptoms wheeze", US_national_yearly!$D:$AM, 14, FALSE) / VLOOKUP("transport|NOx|Asthma symptoms wheeze", US_national_yearly!$D:$AM, 10, FALSE), 1)</f>
        <v>4.621884938062744E-4</v>
      </c>
      <c r="G8" s="7">
        <f>$B8 * IFERROR(VLOOKUP("transport|NOx|Asthma symptoms wheeze", US_national_yearly!$D:$AM, 15, FALSE) / VLOOKUP("transport|NOx|Asthma symptoms wheeze", US_national_yearly!$D:$AM, 10, FALSE), 1)</f>
        <v>4.6697165581304769E-4</v>
      </c>
      <c r="H8" s="7">
        <f>$B8 * IFERROR(VLOOKUP("transport|NOx|Asthma symptoms wheeze", US_national_yearly!$D:$AM, 16, FALSE) / VLOOKUP("transport|NOx|Asthma symptoms wheeze", US_national_yearly!$D:$AM, 10, FALSE), 1)</f>
        <v>4.7175481781982099E-4</v>
      </c>
      <c r="I8" s="7">
        <f>$B8 * IFERROR(VLOOKUP("transport|NOx|Asthma symptoms wheeze", US_national_yearly!$D:$AM, 17, FALSE) / VLOOKUP("transport|NOx|Asthma symptoms wheeze", US_national_yearly!$D:$AM, 10, FALSE), 1)</f>
        <v>4.7340111380973809E-4</v>
      </c>
      <c r="J8" s="7">
        <f>$B8 * IFERROR(VLOOKUP("transport|NOx|Asthma symptoms wheeze", US_national_yearly!$D:$AM, 18, FALSE) / VLOOKUP("transport|NOx|Asthma symptoms wheeze", US_national_yearly!$D:$AM, 10, FALSE), 1)</f>
        <v>4.7504740979965524E-4</v>
      </c>
      <c r="K8" s="7">
        <f>$B8 * IFERROR(VLOOKUP("transport|NOx|Asthma symptoms wheeze", US_national_yearly!$D:$AM, 19, FALSE) / VLOOKUP("transport|NOx|Asthma symptoms wheeze", US_national_yearly!$D:$AM, 10, FALSE), 1)</f>
        <v>4.7669370578957222E-4</v>
      </c>
      <c r="L8" s="7">
        <f>$B8 * IFERROR(VLOOKUP("transport|NOx|Asthma symptoms wheeze", US_national_yearly!$D:$AM, 20, FALSE) / VLOOKUP("transport|NOx|Asthma symptoms wheeze", US_national_yearly!$D:$AM, 10, FALSE), 1)</f>
        <v>4.7834000177948937E-4</v>
      </c>
      <c r="M8" s="7">
        <f>$B8 * IFERROR(VLOOKUP("transport|NOx|Asthma symptoms wheeze", US_national_yearly!$D:$AM, 21, FALSE) / VLOOKUP("transport|NOx|Asthma symptoms wheeze", US_national_yearly!$D:$AM, 10, FALSE), 1)</f>
        <v>4.7998629776940647E-4</v>
      </c>
      <c r="N8" s="7">
        <f>$B8 * IFERROR(VLOOKUP("transport|NOx|Asthma symptoms wheeze", US_national_yearly!$D:$AM, 22, FALSE) / VLOOKUP("transport|NOx|Asthma symptoms wheeze", US_national_yearly!$D:$AM, 10, FALSE), 1)</f>
        <v>4.8189530056564435E-4</v>
      </c>
      <c r="O8" s="7">
        <f>$B8 * IFERROR(VLOOKUP("transport|NOx|Asthma symptoms wheeze", US_national_yearly!$D:$AM, 23, FALSE) / VLOOKUP("transport|NOx|Asthma symptoms wheeze", US_national_yearly!$D:$AM, 10, FALSE), 1)</f>
        <v>4.8380430336188233E-4</v>
      </c>
      <c r="P8" s="7">
        <f>$B8 * IFERROR(VLOOKUP("transport|NOx|Asthma symptoms wheeze", US_national_yearly!$D:$AM, 24, FALSE) / VLOOKUP("transport|NOx|Asthma symptoms wheeze", US_national_yearly!$D:$AM, 10, FALSE), 1)</f>
        <v>4.8571330615812021E-4</v>
      </c>
      <c r="Q8" s="7">
        <f>$B8 * IFERROR(VLOOKUP("transport|NOx|Asthma symptoms wheeze", US_national_yearly!$D:$AM, 25, FALSE) / VLOOKUP("transport|NOx|Asthma symptoms wheeze", US_national_yearly!$D:$AM, 10, FALSE), 1)</f>
        <v>4.8762230895435819E-4</v>
      </c>
      <c r="R8" s="7">
        <f>$B8 * IFERROR(VLOOKUP("transport|NOx|Asthma symptoms wheeze", US_national_yearly!$D:$AM, 26, FALSE) / VLOOKUP("transport|NOx|Asthma symptoms wheeze", US_national_yearly!$D:$AM, 10, FALSE), 1)</f>
        <v>4.8953131175059612E-4</v>
      </c>
      <c r="S8" s="7">
        <f>$B8 * IFERROR(VLOOKUP("transport|NOx|Asthma symptoms wheeze", US_national_yearly!$D:$AM, 27, FALSE) / VLOOKUP("transport|NOx|Asthma symptoms wheeze", US_national_yearly!$D:$AM, 10, FALSE), 1)</f>
        <v>4.9202507741389083E-4</v>
      </c>
      <c r="T8" s="7">
        <f>$B8 * IFERROR(VLOOKUP("transport|NOx|Asthma symptoms wheeze", US_national_yearly!$D:$AM, 28, FALSE) / VLOOKUP("transport|NOx|Asthma symptoms wheeze", US_national_yearly!$D:$AM, 10, FALSE), 1)</f>
        <v>4.9451884307718554E-4</v>
      </c>
      <c r="U8" s="7">
        <f>$B8 * IFERROR(VLOOKUP("transport|NOx|Asthma symptoms wheeze", US_national_yearly!$D:$AM, 29, FALSE) / VLOOKUP("transport|NOx|Asthma symptoms wheeze", US_national_yearly!$D:$AM, 10, FALSE), 1)</f>
        <v>4.9701260874048024E-4</v>
      </c>
      <c r="V8" s="7">
        <f>$B8 * IFERROR(VLOOKUP("transport|NOx|Asthma symptoms wheeze", US_national_yearly!$D:$AM, 30, FALSE) / VLOOKUP("transport|NOx|Asthma symptoms wheeze", US_national_yearly!$D:$AM, 10, FALSE), 1)</f>
        <v>4.9950637440377506E-4</v>
      </c>
      <c r="W8" s="7">
        <f>$B8 * IFERROR(VLOOKUP("transport|NOx|Asthma symptoms wheeze", US_national_yearly!$D:$AM, 31, FALSE) / VLOOKUP("transport|NOx|Asthma symptoms wheeze", US_national_yearly!$D:$AM, 10, FALSE), 1)</f>
        <v>5.0200014006706966E-4</v>
      </c>
      <c r="X8" s="7">
        <f>$B8 * IFERROR(VLOOKUP("transport|NOx|Asthma symptoms wheeze", US_national_yearly!$D:$AM, 32, FALSE) / VLOOKUP("transport|NOx|Asthma symptoms wheeze", US_national_yearly!$D:$AM, 10, FALSE), 1)</f>
        <v>5.0431720668556829E-4</v>
      </c>
      <c r="Y8" s="7">
        <f>$B8 * IFERROR(VLOOKUP("transport|NOx|Asthma symptoms wheeze", US_national_yearly!$D:$AM, 33, FALSE) / VLOOKUP("transport|NOx|Asthma symptoms wheeze", US_national_yearly!$D:$AM, 10, FALSE), 1)</f>
        <v>5.0663427330406693E-4</v>
      </c>
      <c r="Z8" s="7">
        <f>$B8 * IFERROR(VLOOKUP("transport|NOx|Asthma symptoms wheeze", US_national_yearly!$D:$AM, 34, FALSE) / VLOOKUP("transport|NOx|Asthma symptoms wheeze", US_national_yearly!$D:$AM, 10, FALSE), 1)</f>
        <v>5.0895133992256557E-4</v>
      </c>
      <c r="AA8" s="7">
        <f>$B8 * IFERROR(VLOOKUP("transport|NOx|Asthma symptoms wheeze", US_national_yearly!$D:$AM, 35, FALSE) / VLOOKUP("transport|NOx|Asthma symptoms wheeze", US_national_yearly!$D:$AM, 10, FALSE), 1)</f>
        <v>5.1126840654106421E-4</v>
      </c>
      <c r="AB8" s="7">
        <f>$B8 * IFERROR(VLOOKUP("transport|NOx|Asthma symptoms wheeze", US_national_yearly!$D:$AM, 36, FALSE) / VLOOKUP("transport|NOx|Asthma symptoms wheeze", US_national_yearly!$D:$AM, 10, FALSE), 1)</f>
        <v>5.1358547315956285E-4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4.2869806999348569E-6</v>
      </c>
      <c r="C12" s="7">
        <f>$B12 * IFERROR(VLOOKUP("transport|NOx|Respiratory hospital admissions", US_national_yearly!$D:$AM, 11, FALSE) / VLOOKUP("transport|NOx|Respiratory hospital admissions", US_national_yearly!$D:$AM, 10, FALSE), 1)</f>
        <v>4.3939179960812169E-6</v>
      </c>
      <c r="D12" s="7">
        <f>$B12 * IFERROR(VLOOKUP("transport|NOx|Respiratory hospital admissions", US_national_yearly!$D:$AM, 12, FALSE) / VLOOKUP("transport|NOx|Respiratory hospital admissions", US_national_yearly!$D:$AM, 10, FALSE), 1)</f>
        <v>4.5008552922275778E-6</v>
      </c>
      <c r="E12" s="7">
        <f>$B12 * IFERROR(VLOOKUP("transport|NOx|Respiratory hospital admissions", US_national_yearly!$D:$AM, 13, FALSE) / VLOOKUP("transport|NOx|Respiratory hospital admissions", US_national_yearly!$D:$AM, 10, FALSE), 1)</f>
        <v>4.6077925883739379E-6</v>
      </c>
      <c r="F12" s="7">
        <f>$B12 * IFERROR(VLOOKUP("transport|NOx|Respiratory hospital admissions", US_national_yearly!$D:$AM, 14, FALSE) / VLOOKUP("transport|NOx|Respiratory hospital admissions", US_national_yearly!$D:$AM, 10, FALSE), 1)</f>
        <v>4.7147298845202988E-6</v>
      </c>
      <c r="G12" s="7">
        <f>$B12 * IFERROR(VLOOKUP("transport|NOx|Respiratory hospital admissions", US_national_yearly!$D:$AM, 15, FALSE) / VLOOKUP("transport|NOx|Respiratory hospital admissions", US_national_yearly!$D:$AM, 10, FALSE), 1)</f>
        <v>4.8169655793485257E-6</v>
      </c>
      <c r="H12" s="7">
        <f>$B12 * IFERROR(VLOOKUP("transport|NOx|Respiratory hospital admissions", US_national_yearly!$D:$AM, 16, FALSE) / VLOOKUP("transport|NOx|Respiratory hospital admissions", US_national_yearly!$D:$AM, 10, FALSE), 1)</f>
        <v>4.9192012741767533E-6</v>
      </c>
      <c r="I12" s="7">
        <f>$B12 * IFERROR(VLOOKUP("transport|NOx|Respiratory hospital admissions", US_national_yearly!$D:$AM, 17, FALSE) / VLOOKUP("transport|NOx|Respiratory hospital admissions", US_national_yearly!$D:$AM, 10, FALSE), 1)</f>
        <v>5.006001480839105E-6</v>
      </c>
      <c r="J12" s="7">
        <f>$B12 * IFERROR(VLOOKUP("transport|NOx|Respiratory hospital admissions", US_national_yearly!$D:$AM, 18, FALSE) / VLOOKUP("transport|NOx|Respiratory hospital admissions", US_national_yearly!$D:$AM, 10, FALSE), 1)</f>
        <v>5.092801687501455E-6</v>
      </c>
      <c r="K12" s="7">
        <f>$B12 * IFERROR(VLOOKUP("transport|NOx|Respiratory hospital admissions", US_national_yearly!$D:$AM, 19, FALSE) / VLOOKUP("transport|NOx|Respiratory hospital admissions", US_national_yearly!$D:$AM, 10, FALSE), 1)</f>
        <v>5.1796018941638067E-6</v>
      </c>
      <c r="L12" s="7">
        <f>$B12 * IFERROR(VLOOKUP("transport|NOx|Respiratory hospital admissions", US_national_yearly!$D:$AM, 20, FALSE) / VLOOKUP("transport|NOx|Respiratory hospital admissions", US_national_yearly!$D:$AM, 10, FALSE), 1)</f>
        <v>5.2664021008261583E-6</v>
      </c>
      <c r="M12" s="7">
        <f>$B12 * IFERROR(VLOOKUP("transport|NOx|Respiratory hospital admissions", US_national_yearly!$D:$AM, 21, FALSE) / VLOOKUP("transport|NOx|Respiratory hospital admissions", US_national_yearly!$D:$AM, 10, FALSE), 1)</f>
        <v>5.3532023074885092E-6</v>
      </c>
      <c r="N12" s="7">
        <f>$B12 * IFERROR(VLOOKUP("transport|NOx|Respiratory hospital admissions", US_national_yearly!$D:$AM, 22, FALSE) / VLOOKUP("transport|NOx|Respiratory hospital admissions", US_national_yearly!$D:$AM, 10, FALSE), 1)</f>
        <v>5.4112298084417638E-6</v>
      </c>
      <c r="O12" s="7">
        <f>$B12 * IFERROR(VLOOKUP("transport|NOx|Respiratory hospital admissions", US_national_yearly!$D:$AM, 23, FALSE) / VLOOKUP("transport|NOx|Respiratory hospital admissions", US_national_yearly!$D:$AM, 10, FALSE), 1)</f>
        <v>5.4692573093950192E-6</v>
      </c>
      <c r="P12" s="7">
        <f>$B12 * IFERROR(VLOOKUP("transport|NOx|Respiratory hospital admissions", US_national_yearly!$D:$AM, 24, FALSE) / VLOOKUP("transport|NOx|Respiratory hospital admissions", US_national_yearly!$D:$AM, 10, FALSE), 1)</f>
        <v>5.5272848103482747E-6</v>
      </c>
      <c r="Q12" s="7">
        <f>$B12 * IFERROR(VLOOKUP("transport|NOx|Respiratory hospital admissions", US_national_yearly!$D:$AM, 25, FALSE) / VLOOKUP("transport|NOx|Respiratory hospital admissions", US_national_yearly!$D:$AM, 10, FALSE), 1)</f>
        <v>5.585312311301531E-6</v>
      </c>
      <c r="R12" s="7">
        <f>$B12 * IFERROR(VLOOKUP("transport|NOx|Respiratory hospital admissions", US_national_yearly!$D:$AM, 26, FALSE) / VLOOKUP("transport|NOx|Respiratory hospital admissions", US_national_yearly!$D:$AM, 10, FALSE), 1)</f>
        <v>5.6433398122547856E-6</v>
      </c>
      <c r="S12" s="7">
        <f>$B12 * IFERROR(VLOOKUP("transport|NOx|Respiratory hospital admissions", US_national_yearly!$D:$AM, 27, FALSE) / VLOOKUP("transport|NOx|Respiratory hospital admissions", US_national_yearly!$D:$AM, 10, FALSE), 1)</f>
        <v>5.6744293749023962E-6</v>
      </c>
      <c r="T12" s="7">
        <f>$B12 * IFERROR(VLOOKUP("transport|NOx|Respiratory hospital admissions", US_national_yearly!$D:$AM, 28, FALSE) / VLOOKUP("transport|NOx|Respiratory hospital admissions", US_national_yearly!$D:$AM, 10, FALSE), 1)</f>
        <v>5.7055189375500067E-6</v>
      </c>
      <c r="U12" s="7">
        <f>$B12 * IFERROR(VLOOKUP("transport|NOx|Respiratory hospital admissions", US_national_yearly!$D:$AM, 29, FALSE) / VLOOKUP("transport|NOx|Respiratory hospital admissions", US_national_yearly!$D:$AM, 10, FALSE), 1)</f>
        <v>5.7366085001976172E-6</v>
      </c>
      <c r="V12" s="7">
        <f>$B12 * IFERROR(VLOOKUP("transport|NOx|Respiratory hospital admissions", US_national_yearly!$D:$AM, 30, FALSE) / VLOOKUP("transport|NOx|Respiratory hospital admissions", US_national_yearly!$D:$AM, 10, FALSE), 1)</f>
        <v>5.767698062845226E-6</v>
      </c>
      <c r="W12" s="7">
        <f>$B12 * IFERROR(VLOOKUP("transport|NOx|Respiratory hospital admissions", US_national_yearly!$D:$AM, 31, FALSE) / VLOOKUP("transport|NOx|Respiratory hospital admissions", US_national_yearly!$D:$AM, 10, FALSE), 1)</f>
        <v>5.7987876254928374E-6</v>
      </c>
      <c r="X12" s="7">
        <f>$B12 * IFERROR(VLOOKUP("transport|NOx|Respiratory hospital admissions", US_national_yearly!$D:$AM, 32, FALSE) / VLOOKUP("transport|NOx|Respiratory hospital admissions", US_national_yearly!$D:$AM, 10, FALSE), 1)</f>
        <v>5.8200333025157805E-6</v>
      </c>
      <c r="Y12" s="7">
        <f>$B12 * IFERROR(VLOOKUP("transport|NOx|Respiratory hospital admissions", US_national_yearly!$D:$AM, 33, FALSE) / VLOOKUP("transport|NOx|Respiratory hospital admissions", US_national_yearly!$D:$AM, 10, FALSE), 1)</f>
        <v>5.8412789795387244E-6</v>
      </c>
      <c r="Z12" s="7">
        <f>$B12 * IFERROR(VLOOKUP("transport|NOx|Respiratory hospital admissions", US_national_yearly!$D:$AM, 34, FALSE) / VLOOKUP("transport|NOx|Respiratory hospital admissions", US_national_yearly!$D:$AM, 10, FALSE), 1)</f>
        <v>5.8625246565616682E-6</v>
      </c>
      <c r="AA12" s="7">
        <f>$B12 * IFERROR(VLOOKUP("transport|NOx|Respiratory hospital admissions", US_national_yearly!$D:$AM, 35, FALSE) / VLOOKUP("transport|NOx|Respiratory hospital admissions", US_national_yearly!$D:$AM, 10, FALSE), 1)</f>
        <v>5.8837703335846121E-6</v>
      </c>
      <c r="AB12" s="7">
        <f>$B12 * IFERROR(VLOOKUP("transport|NOx|Respiratory hospital admissions", US_national_yearly!$D:$AM, 36, FALSE) / VLOOKUP("transport|NOx|Respiratory hospital admissions", US_national_yearly!$D:$AM, 10, FALSE), 1)</f>
        <v>5.9050160106075543E-6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6.370207260846956E-6</v>
      </c>
      <c r="C13" s="7">
        <f>$B13 * IFERROR(VLOOKUP("transport|NOx|Non-fatal heart attacks", US_national_yearly!$D:$AM, 11, FALSE) / VLOOKUP("transport|NOx|Non-fatal heart attacks", US_national_yearly!$D:$AM, 10, FALSE), 1)</f>
        <v>6.5523258739238826E-6</v>
      </c>
      <c r="D13" s="7">
        <f>$B13 * IFERROR(VLOOKUP("transport|NOx|Non-fatal heart attacks", US_national_yearly!$D:$AM, 12, FALSE) / VLOOKUP("transport|NOx|Non-fatal heart attacks", US_national_yearly!$D:$AM, 10, FALSE), 1)</f>
        <v>6.7344444870008093E-6</v>
      </c>
      <c r="E13" s="7">
        <f>$B13 * IFERROR(VLOOKUP("transport|NOx|Non-fatal heart attacks", US_national_yearly!$D:$AM, 13, FALSE) / VLOOKUP("transport|NOx|Non-fatal heart attacks", US_national_yearly!$D:$AM, 10, FALSE), 1)</f>
        <v>6.9165631000777343E-6</v>
      </c>
      <c r="F13" s="7">
        <f>$B13 * IFERROR(VLOOKUP("transport|NOx|Non-fatal heart attacks", US_national_yearly!$D:$AM, 14, FALSE) / VLOOKUP("transport|NOx|Non-fatal heart attacks", US_national_yearly!$D:$AM, 10, FALSE), 1)</f>
        <v>7.0986817131546601E-6</v>
      </c>
      <c r="G13" s="7">
        <f>$B13 * IFERROR(VLOOKUP("transport|NOx|Non-fatal heart attacks", US_national_yearly!$D:$AM, 15, FALSE) / VLOOKUP("transport|NOx|Non-fatal heart attacks", US_national_yearly!$D:$AM, 10, FALSE), 1)</f>
        <v>7.2688711785693538E-6</v>
      </c>
      <c r="H13" s="7">
        <f>$B13 * IFERROR(VLOOKUP("transport|NOx|Non-fatal heart attacks", US_national_yearly!$D:$AM, 16, FALSE) / VLOOKUP("transport|NOx|Non-fatal heart attacks", US_national_yearly!$D:$AM, 10, FALSE), 1)</f>
        <v>7.4390606439840474E-6</v>
      </c>
      <c r="I13" s="7">
        <f>$B13 * IFERROR(VLOOKUP("transport|NOx|Non-fatal heart attacks", US_national_yearly!$D:$AM, 17, FALSE) / VLOOKUP("transport|NOx|Non-fatal heart attacks", US_national_yearly!$D:$AM, 10, FALSE), 1)</f>
        <v>7.5732355829500934E-6</v>
      </c>
      <c r="J13" s="7">
        <f>$B13 * IFERROR(VLOOKUP("transport|NOx|Non-fatal heart attacks", US_national_yearly!$D:$AM, 18, FALSE) / VLOOKUP("transport|NOx|Non-fatal heart attacks", US_national_yearly!$D:$AM, 10, FALSE), 1)</f>
        <v>7.7074105219161394E-6</v>
      </c>
      <c r="K13" s="7">
        <f>$B13 * IFERROR(VLOOKUP("transport|NOx|Non-fatal heart attacks", US_national_yearly!$D:$AM, 19, FALSE) / VLOOKUP("transport|NOx|Non-fatal heart attacks", US_national_yearly!$D:$AM, 10, FALSE), 1)</f>
        <v>7.8415854608821821E-6</v>
      </c>
      <c r="L13" s="7">
        <f>$B13 * IFERROR(VLOOKUP("transport|NOx|Non-fatal heart attacks", US_national_yearly!$D:$AM, 20, FALSE) / VLOOKUP("transport|NOx|Non-fatal heart attacks", US_national_yearly!$D:$AM, 10, FALSE), 1)</f>
        <v>7.9757603998482332E-6</v>
      </c>
      <c r="M13" s="7">
        <f>$B13 * IFERROR(VLOOKUP("transport|NOx|Non-fatal heart attacks", US_national_yearly!$D:$AM, 21, FALSE) / VLOOKUP("transport|NOx|Non-fatal heart attacks", US_national_yearly!$D:$AM, 10, FALSE), 1)</f>
        <v>8.1099353388142775E-6</v>
      </c>
      <c r="N13" s="7">
        <f>$B13 * IFERROR(VLOOKUP("transport|NOx|Non-fatal heart attacks", US_national_yearly!$D:$AM, 22, FALSE) / VLOOKUP("transport|NOx|Non-fatal heart attacks", US_national_yearly!$D:$AM, 10, FALSE), 1)</f>
        <v>8.1906590511629674E-6</v>
      </c>
      <c r="O13" s="7">
        <f>$B13 * IFERROR(VLOOKUP("transport|NOx|Non-fatal heart attacks", US_national_yearly!$D:$AM, 23, FALSE) / VLOOKUP("transport|NOx|Non-fatal heart attacks", US_national_yearly!$D:$AM, 10, FALSE), 1)</f>
        <v>8.2713827635116574E-6</v>
      </c>
      <c r="P13" s="7">
        <f>$B13 * IFERROR(VLOOKUP("transport|NOx|Non-fatal heart attacks", US_national_yearly!$D:$AM, 24, FALSE) / VLOOKUP("transport|NOx|Non-fatal heart attacks", US_national_yearly!$D:$AM, 10, FALSE), 1)</f>
        <v>8.3521064758603474E-6</v>
      </c>
      <c r="Q13" s="7">
        <f>$B13 * IFERROR(VLOOKUP("transport|NOx|Non-fatal heart attacks", US_national_yearly!$D:$AM, 25, FALSE) / VLOOKUP("transport|NOx|Non-fatal heart attacks", US_national_yearly!$D:$AM, 10, FALSE), 1)</f>
        <v>8.432830188209039E-6</v>
      </c>
      <c r="R13" s="7">
        <f>$B13 * IFERROR(VLOOKUP("transport|NOx|Non-fatal heart attacks", US_national_yearly!$D:$AM, 26, FALSE) / VLOOKUP("transport|NOx|Non-fatal heart attacks", US_national_yearly!$D:$AM, 10, FALSE), 1)</f>
        <v>8.513553900557729E-6</v>
      </c>
      <c r="S13" s="7">
        <f>$B13 * IFERROR(VLOOKUP("transport|NOx|Non-fatal heart attacks", US_national_yearly!$D:$AM, 27, FALSE) / VLOOKUP("transport|NOx|Non-fatal heart attacks", US_national_yearly!$D:$AM, 10, FALSE), 1)</f>
        <v>8.5501707347943202E-6</v>
      </c>
      <c r="T13" s="7">
        <f>$B13 * IFERROR(VLOOKUP("transport|NOx|Non-fatal heart attacks", US_national_yearly!$D:$AM, 28, FALSE) / VLOOKUP("transport|NOx|Non-fatal heart attacks", US_national_yearly!$D:$AM, 10, FALSE), 1)</f>
        <v>8.5867875690309097E-6</v>
      </c>
      <c r="U13" s="7">
        <f>$B13 * IFERROR(VLOOKUP("transport|NOx|Non-fatal heart attacks", US_national_yearly!$D:$AM, 29, FALSE) / VLOOKUP("transport|NOx|Non-fatal heart attacks", US_national_yearly!$D:$AM, 10, FALSE), 1)</f>
        <v>8.6234044032675009E-6</v>
      </c>
      <c r="V13" s="7">
        <f>$B13 * IFERROR(VLOOKUP("transport|NOx|Non-fatal heart attacks", US_national_yearly!$D:$AM, 30, FALSE) / VLOOKUP("transport|NOx|Non-fatal heart attacks", US_national_yearly!$D:$AM, 10, FALSE), 1)</f>
        <v>8.6600212375040921E-6</v>
      </c>
      <c r="W13" s="7">
        <f>$B13 * IFERROR(VLOOKUP("transport|NOx|Non-fatal heart attacks", US_national_yearly!$D:$AM, 31, FALSE) / VLOOKUP("transport|NOx|Non-fatal heart attacks", US_national_yearly!$D:$AM, 10, FALSE), 1)</f>
        <v>8.6966380717406816E-6</v>
      </c>
      <c r="X13" s="7">
        <f>$B13 * IFERROR(VLOOKUP("transport|NOx|Non-fatal heart attacks", US_national_yearly!$D:$AM, 32, FALSE) / VLOOKUP("transport|NOx|Non-fatal heart attacks", US_national_yearly!$D:$AM, 10, FALSE), 1)</f>
        <v>8.7211073670898638E-6</v>
      </c>
      <c r="Y13" s="7">
        <f>$B13 * IFERROR(VLOOKUP("transport|NOx|Non-fatal heart attacks", US_national_yearly!$D:$AM, 33, FALSE) / VLOOKUP("transport|NOx|Non-fatal heart attacks", US_national_yearly!$D:$AM, 10, FALSE), 1)</f>
        <v>8.7455766624390477E-6</v>
      </c>
      <c r="Z13" s="7">
        <f>$B13 * IFERROR(VLOOKUP("transport|NOx|Non-fatal heart attacks", US_national_yearly!$D:$AM, 34, FALSE) / VLOOKUP("transport|NOx|Non-fatal heart attacks", US_national_yearly!$D:$AM, 10, FALSE), 1)</f>
        <v>8.7700459577882282E-6</v>
      </c>
      <c r="AA13" s="7">
        <f>$B13 * IFERROR(VLOOKUP("transport|NOx|Non-fatal heart attacks", US_national_yearly!$D:$AM, 35, FALSE) / VLOOKUP("transport|NOx|Non-fatal heart attacks", US_national_yearly!$D:$AM, 10, FALSE), 1)</f>
        <v>8.7945152531374086E-6</v>
      </c>
      <c r="AB13" s="7">
        <f>$B13 * IFERROR(VLOOKUP("transport|NOx|Non-fatal heart attacks", US_national_yearly!$D:$AM, 36, FALSE) / VLOOKUP("transport|NOx|Non-fatal heart attacks", US_national_yearly!$D:$AM, 10, FALSE), 1)</f>
        <v>8.8189845484865925E-6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2.5859214491859749E-2</v>
      </c>
      <c r="C14" s="7">
        <f>$B14 * IFERROR(VLOOKUP("transport|NOx|Minor restricted activity days", US_national_yearly!$D:$AM, 11, FALSE) / VLOOKUP("transport|NOx|Minor restricted activity days", US_national_yearly!$D:$AM, 10, FALSE), 1)</f>
        <v>2.5898861007333521E-2</v>
      </c>
      <c r="D14" s="7">
        <f>$B14 * IFERROR(VLOOKUP("transport|NOx|Minor restricted activity days", US_national_yearly!$D:$AM, 12, FALSE) / VLOOKUP("transport|NOx|Minor restricted activity days", US_national_yearly!$D:$AM, 10, FALSE), 1)</f>
        <v>2.5938507522807297E-2</v>
      </c>
      <c r="E14" s="7">
        <f>$B14 * IFERROR(VLOOKUP("transport|NOx|Minor restricted activity days", US_national_yearly!$D:$AM, 13, FALSE) / VLOOKUP("transport|NOx|Minor restricted activity days", US_national_yearly!$D:$AM, 10, FALSE), 1)</f>
        <v>2.5978154038281076E-2</v>
      </c>
      <c r="F14" s="7">
        <f>$B14 * IFERROR(VLOOKUP("transport|NOx|Minor restricted activity days", US_national_yearly!$D:$AM, 14, FALSE) / VLOOKUP("transport|NOx|Minor restricted activity days", US_national_yearly!$D:$AM, 10, FALSE), 1)</f>
        <v>2.6017800553754848E-2</v>
      </c>
      <c r="G14" s="7">
        <f>$B14 * IFERROR(VLOOKUP("transport|NOx|Minor restricted activity days", US_national_yearly!$D:$AM, 15, FALSE) / VLOOKUP("transport|NOx|Minor restricted activity days", US_national_yearly!$D:$AM, 10, FALSE), 1)</f>
        <v>2.6089392724018921E-2</v>
      </c>
      <c r="H14" s="7">
        <f>$B14 * IFERROR(VLOOKUP("transport|NOx|Minor restricted activity days", US_national_yearly!$D:$AM, 16, FALSE) / VLOOKUP("transport|NOx|Minor restricted activity days", US_national_yearly!$D:$AM, 10, FALSE), 1)</f>
        <v>2.6160984894282986E-2</v>
      </c>
      <c r="I14" s="7">
        <f>$B14 * IFERROR(VLOOKUP("transport|NOx|Minor restricted activity days", US_national_yearly!$D:$AM, 17, FALSE) / VLOOKUP("transport|NOx|Minor restricted activity days", US_national_yearly!$D:$AM, 10, FALSE), 1)</f>
        <v>2.6301016348272154E-2</v>
      </c>
      <c r="J14" s="7">
        <f>$B14 * IFERROR(VLOOKUP("transport|NOx|Minor restricted activity days", US_national_yearly!$D:$AM, 18, FALSE) / VLOOKUP("transport|NOx|Minor restricted activity days", US_national_yearly!$D:$AM, 10, FALSE), 1)</f>
        <v>2.6441047802261315E-2</v>
      </c>
      <c r="K14" s="7">
        <f>$B14 * IFERROR(VLOOKUP("transport|NOx|Minor restricted activity days", US_national_yearly!$D:$AM, 19, FALSE) / VLOOKUP("transport|NOx|Minor restricted activity days", US_national_yearly!$D:$AM, 10, FALSE), 1)</f>
        <v>2.658107925625048E-2</v>
      </c>
      <c r="L14" s="7">
        <f>$B14 * IFERROR(VLOOKUP("transport|NOx|Minor restricted activity days", US_national_yearly!$D:$AM, 20, FALSE) / VLOOKUP("transport|NOx|Minor restricted activity days", US_national_yearly!$D:$AM, 10, FALSE), 1)</f>
        <v>2.6721110710239644E-2</v>
      </c>
      <c r="M14" s="7">
        <f>$B14 * IFERROR(VLOOKUP("transport|NOx|Minor restricted activity days", US_national_yearly!$D:$AM, 21, FALSE) / VLOOKUP("transport|NOx|Minor restricted activity days", US_national_yearly!$D:$AM, 10, FALSE), 1)</f>
        <v>2.6861142164228809E-2</v>
      </c>
      <c r="N14" s="7">
        <f>$B14 * IFERROR(VLOOKUP("transport|NOx|Minor restricted activity days", US_national_yearly!$D:$AM, 22, FALSE) / VLOOKUP("transport|NOx|Minor restricted activity days", US_national_yearly!$D:$AM, 10, FALSE), 1)</f>
        <v>2.7061635454896822E-2</v>
      </c>
      <c r="O14" s="7">
        <f>$B14 * IFERROR(VLOOKUP("transport|NOx|Minor restricted activity days", US_national_yearly!$D:$AM, 23, FALSE) / VLOOKUP("transport|NOx|Minor restricted activity days", US_national_yearly!$D:$AM, 10, FALSE), 1)</f>
        <v>2.7262128745564832E-2</v>
      </c>
      <c r="P14" s="7">
        <f>$B14 * IFERROR(VLOOKUP("transport|NOx|Minor restricted activity days", US_national_yearly!$D:$AM, 24, FALSE) / VLOOKUP("transport|NOx|Minor restricted activity days", US_national_yearly!$D:$AM, 10, FALSE), 1)</f>
        <v>2.7462622036232846E-2</v>
      </c>
      <c r="Q14" s="7">
        <f>$B14 * IFERROR(VLOOKUP("transport|NOx|Minor restricted activity days", US_national_yearly!$D:$AM, 25, FALSE) / VLOOKUP("transport|NOx|Minor restricted activity days", US_national_yearly!$D:$AM, 10, FALSE), 1)</f>
        <v>2.7663115326900856E-2</v>
      </c>
      <c r="R14" s="7">
        <f>$B14 * IFERROR(VLOOKUP("transport|NOx|Minor restricted activity days", US_national_yearly!$D:$AM, 26, FALSE) / VLOOKUP("transport|NOx|Minor restricted activity days", US_national_yearly!$D:$AM, 10, FALSE), 1)</f>
        <v>2.7863608617568869E-2</v>
      </c>
      <c r="S14" s="7">
        <f>$B14 * IFERROR(VLOOKUP("transport|NOx|Minor restricted activity days", US_national_yearly!$D:$AM, 27, FALSE) / VLOOKUP("transport|NOx|Minor restricted activity days", US_national_yearly!$D:$AM, 10, FALSE), 1)</f>
        <v>2.8064059754951642E-2</v>
      </c>
      <c r="T14" s="7">
        <f>$B14 * IFERROR(VLOOKUP("transport|NOx|Minor restricted activity days", US_national_yearly!$D:$AM, 28, FALSE) / VLOOKUP("transport|NOx|Minor restricted activity days", US_national_yearly!$D:$AM, 10, FALSE), 1)</f>
        <v>2.8264510892334411E-2</v>
      </c>
      <c r="U14" s="7">
        <f>$B14 * IFERROR(VLOOKUP("transport|NOx|Minor restricted activity days", US_national_yearly!$D:$AM, 29, FALSE) / VLOOKUP("transport|NOx|Minor restricted activity days", US_national_yearly!$D:$AM, 10, FALSE), 1)</f>
        <v>2.8464962029717183E-2</v>
      </c>
      <c r="V14" s="7">
        <f>$B14 * IFERROR(VLOOKUP("transport|NOx|Minor restricted activity days", US_national_yearly!$D:$AM, 30, FALSE) / VLOOKUP("transport|NOx|Minor restricted activity days", US_national_yearly!$D:$AM, 10, FALSE), 1)</f>
        <v>2.8665413167099956E-2</v>
      </c>
      <c r="W14" s="7">
        <f>$B14 * IFERROR(VLOOKUP("transport|NOx|Minor restricted activity days", US_national_yearly!$D:$AM, 31, FALSE) / VLOOKUP("transport|NOx|Minor restricted activity days", US_national_yearly!$D:$AM, 10, FALSE), 1)</f>
        <v>2.8865864304482725E-2</v>
      </c>
      <c r="X14" s="7">
        <f>$B14 * IFERROR(VLOOKUP("transport|NOx|Minor restricted activity days", US_national_yearly!$D:$AM, 32, FALSE) / VLOOKUP("transport|NOx|Minor restricted activity days", US_national_yearly!$D:$AM, 10, FALSE), 1)</f>
        <v>2.9035338104787433E-2</v>
      </c>
      <c r="Y14" s="7">
        <f>$B14 * IFERROR(VLOOKUP("transport|NOx|Minor restricted activity days", US_national_yearly!$D:$AM, 33, FALSE) / VLOOKUP("transport|NOx|Minor restricted activity days", US_national_yearly!$D:$AM, 10, FALSE), 1)</f>
        <v>2.9204811905092137E-2</v>
      </c>
      <c r="Z14" s="7">
        <f>$B14 * IFERROR(VLOOKUP("transport|NOx|Minor restricted activity days", US_national_yearly!$D:$AM, 34, FALSE) / VLOOKUP("transport|NOx|Minor restricted activity days", US_national_yearly!$D:$AM, 10, FALSE), 1)</f>
        <v>2.9374285705396845E-2</v>
      </c>
      <c r="AA14" s="7">
        <f>$B14 * IFERROR(VLOOKUP("transport|NOx|Minor restricted activity days", US_national_yearly!$D:$AM, 35, FALSE) / VLOOKUP("transport|NOx|Minor restricted activity days", US_national_yearly!$D:$AM, 10, FALSE), 1)</f>
        <v>2.9543759505701553E-2</v>
      </c>
      <c r="AB14" s="7">
        <f>$B14 * IFERROR(VLOOKUP("transport|NOx|Minor restricted activity days", US_national_yearly!$D:$AM, 36, FALSE) / VLOOKUP("transport|NOx|Minor restricted activity days", US_national_yearly!$D:$AM, 10, FALSE), 1)</f>
        <v>2.9713233306006261E-2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4.3711414596562014E-3</v>
      </c>
      <c r="C15" s="7">
        <f>$B15 * IFERROR(VLOOKUP("transport|NOx|Work loss days", US_national_yearly!$D:$AM, 11, FALSE) / VLOOKUP("transport|NOx|Work loss days", US_national_yearly!$D:$AM, 10, FALSE), 1)</f>
        <v>4.3808648286806501E-3</v>
      </c>
      <c r="D15" s="7">
        <f>$B15 * IFERROR(VLOOKUP("transport|NOx|Work loss days", US_national_yearly!$D:$AM, 12, FALSE) / VLOOKUP("transport|NOx|Work loss days", US_national_yearly!$D:$AM, 10, FALSE), 1)</f>
        <v>4.3905881977050996E-3</v>
      </c>
      <c r="E15" s="7">
        <f>$B15 * IFERROR(VLOOKUP("transport|NOx|Work loss days", US_national_yearly!$D:$AM, 13, FALSE) / VLOOKUP("transport|NOx|Work loss days", US_national_yearly!$D:$AM, 10, FALSE), 1)</f>
        <v>4.4003115667295492E-3</v>
      </c>
      <c r="F15" s="7">
        <f>$B15 * IFERROR(VLOOKUP("transport|NOx|Work loss days", US_national_yearly!$D:$AM, 14, FALSE) / VLOOKUP("transport|NOx|Work loss days", US_national_yearly!$D:$AM, 10, FALSE), 1)</f>
        <v>4.4100349357539988E-3</v>
      </c>
      <c r="G15" s="7">
        <f>$B15 * IFERROR(VLOOKUP("transport|NOx|Work loss days", US_national_yearly!$D:$AM, 15, FALSE) / VLOOKUP("transport|NOx|Work loss days", US_national_yearly!$D:$AM, 10, FALSE), 1)</f>
        <v>4.4242311374743494E-3</v>
      </c>
      <c r="H15" s="7">
        <f>$B15 * IFERROR(VLOOKUP("transport|NOx|Work loss days", US_national_yearly!$D:$AM, 16, FALSE) / VLOOKUP("transport|NOx|Work loss days", US_national_yearly!$D:$AM, 10, FALSE), 1)</f>
        <v>4.438427339194701E-3</v>
      </c>
      <c r="I15" s="7">
        <f>$B15 * IFERROR(VLOOKUP("transport|NOx|Work loss days", US_national_yearly!$D:$AM, 17, FALSE) / VLOOKUP("transport|NOx|Work loss days", US_national_yearly!$D:$AM, 10, FALSE), 1)</f>
        <v>4.4614244166012451E-3</v>
      </c>
      <c r="J15" s="7">
        <f>$B15 * IFERROR(VLOOKUP("transport|NOx|Work loss days", US_national_yearly!$D:$AM, 18, FALSE) / VLOOKUP("transport|NOx|Work loss days", US_national_yearly!$D:$AM, 10, FALSE), 1)</f>
        <v>4.4844214940077893E-3</v>
      </c>
      <c r="K15" s="7">
        <f>$B15 * IFERROR(VLOOKUP("transport|NOx|Work loss days", US_national_yearly!$D:$AM, 19, FALSE) / VLOOKUP("transport|NOx|Work loss days", US_national_yearly!$D:$AM, 10, FALSE), 1)</f>
        <v>4.5074185714143334E-3</v>
      </c>
      <c r="L15" s="7">
        <f>$B15 * IFERROR(VLOOKUP("transport|NOx|Work loss days", US_national_yearly!$D:$AM, 20, FALSE) / VLOOKUP("transport|NOx|Work loss days", US_national_yearly!$D:$AM, 10, FALSE), 1)</f>
        <v>4.5304156488208767E-3</v>
      </c>
      <c r="M15" s="7">
        <f>$B15 * IFERROR(VLOOKUP("transport|NOx|Work loss days", US_national_yearly!$D:$AM, 21, FALSE) / VLOOKUP("transport|NOx|Work loss days", US_national_yearly!$D:$AM, 10, FALSE), 1)</f>
        <v>4.5534127262274217E-3</v>
      </c>
      <c r="N15" s="7">
        <f>$B15 * IFERROR(VLOOKUP("transport|NOx|Work loss days", US_national_yearly!$D:$AM, 22, FALSE) / VLOOKUP("transport|NOx|Work loss days", US_national_yearly!$D:$AM, 10, FALSE), 1)</f>
        <v>4.5833420113085112E-3</v>
      </c>
      <c r="O15" s="7">
        <f>$B15 * IFERROR(VLOOKUP("transport|NOx|Work loss days", US_national_yearly!$D:$AM, 23, FALSE) / VLOOKUP("transport|NOx|Work loss days", US_national_yearly!$D:$AM, 10, FALSE), 1)</f>
        <v>4.6132712963896007E-3</v>
      </c>
      <c r="P15" s="7">
        <f>$B15 * IFERROR(VLOOKUP("transport|NOx|Work loss days", US_national_yearly!$D:$AM, 24, FALSE) / VLOOKUP("transport|NOx|Work loss days", US_national_yearly!$D:$AM, 10, FALSE), 1)</f>
        <v>4.6432005814706903E-3</v>
      </c>
      <c r="Q15" s="7">
        <f>$B15 * IFERROR(VLOOKUP("transport|NOx|Work loss days", US_national_yearly!$D:$AM, 25, FALSE) / VLOOKUP("transport|NOx|Work loss days", US_national_yearly!$D:$AM, 10, FALSE), 1)</f>
        <v>4.6731298665517789E-3</v>
      </c>
      <c r="R15" s="7">
        <f>$B15 * IFERROR(VLOOKUP("transport|NOx|Work loss days", US_national_yearly!$D:$AM, 26, FALSE) / VLOOKUP("transport|NOx|Work loss days", US_national_yearly!$D:$AM, 10, FALSE), 1)</f>
        <v>4.7030591516328693E-3</v>
      </c>
      <c r="S15" s="7">
        <f>$B15 * IFERROR(VLOOKUP("transport|NOx|Work loss days", US_national_yearly!$D:$AM, 27, FALSE) / VLOOKUP("transport|NOx|Work loss days", US_national_yearly!$D:$AM, 10, FALSE), 1)</f>
        <v>4.7364264776798949E-3</v>
      </c>
      <c r="T15" s="7">
        <f>$B15 * IFERROR(VLOOKUP("transport|NOx|Work loss days", US_national_yearly!$D:$AM, 28, FALSE) / VLOOKUP("transport|NOx|Work loss days", US_national_yearly!$D:$AM, 10, FALSE), 1)</f>
        <v>4.7697938037269206E-3</v>
      </c>
      <c r="U15" s="7">
        <f>$B15 * IFERROR(VLOOKUP("transport|NOx|Work loss days", US_national_yearly!$D:$AM, 29, FALSE) / VLOOKUP("transport|NOx|Work loss days", US_national_yearly!$D:$AM, 10, FALSE), 1)</f>
        <v>4.8031611297739453E-3</v>
      </c>
      <c r="V15" s="7">
        <f>$B15 * IFERROR(VLOOKUP("transport|NOx|Work loss days", US_national_yearly!$D:$AM, 30, FALSE) / VLOOKUP("transport|NOx|Work loss days", US_national_yearly!$D:$AM, 10, FALSE), 1)</f>
        <v>4.8365284558209709E-3</v>
      </c>
      <c r="W15" s="7">
        <f>$B15 * IFERROR(VLOOKUP("transport|NOx|Work loss days", US_national_yearly!$D:$AM, 31, FALSE) / VLOOKUP("transport|NOx|Work loss days", US_national_yearly!$D:$AM, 10, FALSE), 1)</f>
        <v>4.8698957818679974E-3</v>
      </c>
      <c r="X15" s="7">
        <f>$B15 * IFERROR(VLOOKUP("transport|NOx|Work loss days", US_national_yearly!$D:$AM, 32, FALSE) / VLOOKUP("transport|NOx|Work loss days", US_national_yearly!$D:$AM, 10, FALSE), 1)</f>
        <v>4.898856841839749E-3</v>
      </c>
      <c r="Y15" s="7">
        <f>$B15 * IFERROR(VLOOKUP("transport|NOx|Work loss days", US_national_yearly!$D:$AM, 33, FALSE) / VLOOKUP("transport|NOx|Work loss days", US_national_yearly!$D:$AM, 10, FALSE), 1)</f>
        <v>4.9278179018114997E-3</v>
      </c>
      <c r="Z15" s="7">
        <f>$B15 * IFERROR(VLOOKUP("transport|NOx|Work loss days", US_national_yearly!$D:$AM, 34, FALSE) / VLOOKUP("transport|NOx|Work loss days", US_national_yearly!$D:$AM, 10, FALSE), 1)</f>
        <v>4.9567789617832514E-3</v>
      </c>
      <c r="AA15" s="7">
        <f>$B15 * IFERROR(VLOOKUP("transport|NOx|Work loss days", US_national_yearly!$D:$AM, 35, FALSE) / VLOOKUP("transport|NOx|Work loss days", US_national_yearly!$D:$AM, 10, FALSE), 1)</f>
        <v>4.985740021755003E-3</v>
      </c>
      <c r="AB15" s="7">
        <f>$B15 * IFERROR(VLOOKUP("transport|NOx|Work loss days", US_national_yearly!$D:$AM, 36, FALSE) / VLOOKUP("transport|NOx|Work loss days", US_national_yearly!$D:$AM, 10, FALSE), 1)</f>
        <v>5.0147010817267546E-3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7.3110752519195333E-6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7.5259085056488747E-6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7.7407417593782144E-6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7.9555750131075558E-6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8.1704082668368972E-6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8.3744643299166893E-6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8.578520392996483E-6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8.7501158000098527E-6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8.9217112070232224E-6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9.0933066140365921E-6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9.2649020210499619E-6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9.4364974280633316E-6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9.5438017218458511E-6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9.6511060156283724E-6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9.7584103094108919E-6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9.8657146031934132E-6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9.973018896975931E-6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1.0021978899601408E-5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1.0070938902226882E-5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1.0119898904852357E-5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1.0168858907477834E-5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1.0217818910103308E-5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1.0245066848988819E-5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1.027231478787433E-5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1.029956272675984E-5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1.0326810665645353E-5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1.0354058604530863E-5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4.1669423799474929E-4</v>
      </c>
      <c r="C2" s="7">
        <f>$B2 * IFERROR(VLOOKUP("transport|SO2|Premature mortality", US_national_yearly!$D:$AM, 11, FALSE) / VLOOKUP("transport|SO2|Premature mortality", US_national_yearly!$D:$AM, 10, FALSE), 1)</f>
        <v>4.2197144506052206E-4</v>
      </c>
      <c r="D2" s="7">
        <f>$B2 * IFERROR(VLOOKUP("transport|SO2|Premature mortality", US_national_yearly!$D:$AM, 12, FALSE) / VLOOKUP("transport|SO2|Premature mortality", US_national_yearly!$D:$AM, 10, FALSE), 1)</f>
        <v>4.2724865212629494E-4</v>
      </c>
      <c r="E2" s="7">
        <f>$B2 * IFERROR(VLOOKUP("transport|SO2|Premature mortality", US_national_yearly!$D:$AM, 13, FALSE) / VLOOKUP("transport|SO2|Premature mortality", US_national_yearly!$D:$AM, 10, FALSE), 1)</f>
        <v>4.3252585919206765E-4</v>
      </c>
      <c r="F2" s="7">
        <f>$B2 * IFERROR(VLOOKUP("transport|SO2|Premature mortality", US_national_yearly!$D:$AM, 14, FALSE) / VLOOKUP("transport|SO2|Premature mortality", US_national_yearly!$D:$AM, 10, FALSE), 1)</f>
        <v>4.3780306625784042E-4</v>
      </c>
      <c r="G2" s="7">
        <f>$B2 * IFERROR(VLOOKUP("transport|SO2|Premature mortality", US_national_yearly!$D:$AM, 15, FALSE) / VLOOKUP("transport|SO2|Premature mortality", US_national_yearly!$D:$AM, 10, FALSE), 1)</f>
        <v>4.4797194519393373E-4</v>
      </c>
      <c r="H2" s="7">
        <f>$B2 * IFERROR(VLOOKUP("transport|SO2|Premature mortality", US_national_yearly!$D:$AM, 16, FALSE) / VLOOKUP("transport|SO2|Premature mortality", US_national_yearly!$D:$AM, 10, FALSE), 1)</f>
        <v>4.5814082413002686E-4</v>
      </c>
      <c r="I2" s="7">
        <f>$B2 * IFERROR(VLOOKUP("transport|SO2|Premature mortality", US_national_yearly!$D:$AM, 17, FALSE) / VLOOKUP("transport|SO2|Premature mortality", US_national_yearly!$D:$AM, 10, FALSE), 1)</f>
        <v>4.6486104241908274E-4</v>
      </c>
      <c r="J2" s="7">
        <f>$B2 * IFERROR(VLOOKUP("transport|SO2|Premature mortality", US_national_yearly!$D:$AM, 18, FALSE) / VLOOKUP("transport|SO2|Premature mortality", US_national_yearly!$D:$AM, 10, FALSE), 1)</f>
        <v>4.7158126070813861E-4</v>
      </c>
      <c r="K2" s="7">
        <f>$B2 * IFERROR(VLOOKUP("transport|SO2|Premature mortality", US_national_yearly!$D:$AM, 19, FALSE) / VLOOKUP("transport|SO2|Premature mortality", US_national_yearly!$D:$AM, 10, FALSE), 1)</f>
        <v>4.7830147899719443E-4</v>
      </c>
      <c r="L2" s="7">
        <f>$B2 * IFERROR(VLOOKUP("transport|SO2|Premature mortality", US_national_yearly!$D:$AM, 20, FALSE) / VLOOKUP("transport|SO2|Premature mortality", US_national_yearly!$D:$AM, 10, FALSE), 1)</f>
        <v>4.8502169728625031E-4</v>
      </c>
      <c r="M2" s="7">
        <f>$B2 * IFERROR(VLOOKUP("transport|SO2|Premature mortality", US_national_yearly!$D:$AM, 21, FALSE) / VLOOKUP("transport|SO2|Premature mortality", US_national_yearly!$D:$AM, 10, FALSE), 1)</f>
        <v>4.9174191557530618E-4</v>
      </c>
      <c r="N2" s="7">
        <f>$B2 * IFERROR(VLOOKUP("transport|SO2|Premature mortality", US_national_yearly!$D:$AM, 22, FALSE) / VLOOKUP("transport|SO2|Premature mortality", US_national_yearly!$D:$AM, 10, FALSE), 1)</f>
        <v>4.9699272962341033E-4</v>
      </c>
      <c r="O2" s="7">
        <f>$B2 * IFERROR(VLOOKUP("transport|SO2|Premature mortality", US_national_yearly!$D:$AM, 23, FALSE) / VLOOKUP("transport|SO2|Premature mortality", US_national_yearly!$D:$AM, 10, FALSE), 1)</f>
        <v>5.0224354367151437E-4</v>
      </c>
      <c r="P2" s="7">
        <f>$B2 * IFERROR(VLOOKUP("transport|SO2|Premature mortality", US_national_yearly!$D:$AM, 24, FALSE) / VLOOKUP("transport|SO2|Premature mortality", US_national_yearly!$D:$AM, 10, FALSE), 1)</f>
        <v>5.0749435771961851E-4</v>
      </c>
      <c r="Q2" s="7">
        <f>$B2 * IFERROR(VLOOKUP("transport|SO2|Premature mortality", US_national_yearly!$D:$AM, 25, FALSE) / VLOOKUP("transport|SO2|Premature mortality", US_national_yearly!$D:$AM, 10, FALSE), 1)</f>
        <v>5.1274517176772255E-4</v>
      </c>
      <c r="R2" s="7">
        <f>$B2 * IFERROR(VLOOKUP("transport|SO2|Premature mortality", US_national_yearly!$D:$AM, 26, FALSE) / VLOOKUP("transport|SO2|Premature mortality", US_national_yearly!$D:$AM, 10, FALSE), 1)</f>
        <v>5.1799598581582658E-4</v>
      </c>
      <c r="S2" s="7">
        <f>$B2 * IFERROR(VLOOKUP("transport|SO2|Premature mortality", US_national_yearly!$D:$AM, 27, FALSE) / VLOOKUP("transport|SO2|Premature mortality", US_national_yearly!$D:$AM, 10, FALSE), 1)</f>
        <v>5.2080786665422156E-4</v>
      </c>
      <c r="T2" s="7">
        <f>$B2 * IFERROR(VLOOKUP("transport|SO2|Premature mortality", US_national_yearly!$D:$AM, 28, FALSE) / VLOOKUP("transport|SO2|Premature mortality", US_national_yearly!$D:$AM, 10, FALSE), 1)</f>
        <v>5.2361974749261654E-4</v>
      </c>
      <c r="U2" s="7">
        <f>$B2 * IFERROR(VLOOKUP("transport|SO2|Premature mortality", US_national_yearly!$D:$AM, 29, FALSE) / VLOOKUP("transport|SO2|Premature mortality", US_national_yearly!$D:$AM, 10, FALSE), 1)</f>
        <v>5.2643162833101141E-4</v>
      </c>
      <c r="V2" s="7">
        <f>$B2 * IFERROR(VLOOKUP("transport|SO2|Premature mortality", US_national_yearly!$D:$AM, 30, FALSE) / VLOOKUP("transport|SO2|Premature mortality", US_national_yearly!$D:$AM, 10, FALSE), 1)</f>
        <v>5.2924350916940639E-4</v>
      </c>
      <c r="W2" s="7">
        <f>$B2 * IFERROR(VLOOKUP("transport|SO2|Premature mortality", US_national_yearly!$D:$AM, 31, FALSE) / VLOOKUP("transport|SO2|Premature mortality", US_national_yearly!$D:$AM, 10, FALSE), 1)</f>
        <v>5.3205539000780136E-4</v>
      </c>
      <c r="X2" s="7">
        <f>$B2 * IFERROR(VLOOKUP("transport|SO2|Premature mortality", US_national_yearly!$D:$AM, 32, FALSE) / VLOOKUP("transport|SO2|Premature mortality", US_national_yearly!$D:$AM, 10, FALSE), 1)</f>
        <v>5.326266322010179E-4</v>
      </c>
      <c r="Y2" s="7">
        <f>$B2 * IFERROR(VLOOKUP("transport|SO2|Premature mortality", US_national_yearly!$D:$AM, 33, FALSE) / VLOOKUP("transport|SO2|Premature mortality", US_national_yearly!$D:$AM, 10, FALSE), 1)</f>
        <v>5.3319787439423465E-4</v>
      </c>
      <c r="Z2" s="7">
        <f>$B2 * IFERROR(VLOOKUP("transport|SO2|Premature mortality", US_national_yearly!$D:$AM, 34, FALSE) / VLOOKUP("transport|SO2|Premature mortality", US_national_yearly!$D:$AM, 10, FALSE), 1)</f>
        <v>5.337691165874513E-4</v>
      </c>
      <c r="AA2" s="7">
        <f>$B2 * IFERROR(VLOOKUP("transport|SO2|Premature mortality", US_national_yearly!$D:$AM, 35, FALSE) / VLOOKUP("transport|SO2|Premature mortality", US_national_yearly!$D:$AM, 10, FALSE), 1)</f>
        <v>5.3434035878066795E-4</v>
      </c>
      <c r="AB2" s="7">
        <f>$B2 * IFERROR(VLOOKUP("transport|SO2|Premature mortality", US_national_yearly!$D:$AM, 36, FALSE) / VLOOKUP("transport|SO2|Premature mortality", US_national_yearly!$D:$AM, 10, FALSE), 1)</f>
        <v>5.3491160097388459E-4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8.2500421593521297E-7</v>
      </c>
      <c r="C3" s="7">
        <f>$B3 * IFERROR(VLOOKUP("transport|SO2|Infant mortality", US_national_yearly!$D:$AM, 11, FALSE) / VLOOKUP("transport|SO2|Infant mortality", US_national_yearly!$D:$AM, 10, FALSE), 1)</f>
        <v>8.1791727923496444E-7</v>
      </c>
      <c r="D3" s="7">
        <f>$B3 * IFERROR(VLOOKUP("transport|SO2|Infant mortality", US_national_yearly!$D:$AM, 12, FALSE) / VLOOKUP("transport|SO2|Infant mortality", US_national_yearly!$D:$AM, 10, FALSE), 1)</f>
        <v>8.10830342534716E-7</v>
      </c>
      <c r="E3" s="7">
        <f>$B3 * IFERROR(VLOOKUP("transport|SO2|Infant mortality", US_national_yearly!$D:$AM, 13, FALSE) / VLOOKUP("transport|SO2|Infant mortality", US_national_yearly!$D:$AM, 10, FALSE), 1)</f>
        <v>8.0374340583446736E-7</v>
      </c>
      <c r="F3" s="7">
        <f>$B3 * IFERROR(VLOOKUP("transport|SO2|Infant mortality", US_national_yearly!$D:$AM, 14, FALSE) / VLOOKUP("transport|SO2|Infant mortality", US_national_yearly!$D:$AM, 10, FALSE), 1)</f>
        <v>7.9665646913421893E-7</v>
      </c>
      <c r="G3" s="7">
        <f>$B3 * IFERROR(VLOOKUP("transport|SO2|Infant mortality", US_national_yearly!$D:$AM, 15, FALSE) / VLOOKUP("transport|SO2|Infant mortality", US_national_yearly!$D:$AM, 10, FALSE), 1)</f>
        <v>5.3063737241468148E-7</v>
      </c>
      <c r="H3" s="7">
        <f>$B3 * IFERROR(VLOOKUP("transport|SO2|Infant mortality", US_national_yearly!$D:$AM, 16, FALSE) / VLOOKUP("transport|SO2|Infant mortality", US_national_yearly!$D:$AM, 10, FALSE), 1)</f>
        <v>2.6461827569514457E-7</v>
      </c>
      <c r="I3" s="7">
        <f>$B3 * IFERROR(VLOOKUP("transport|SO2|Infant mortality", US_national_yearly!$D:$AM, 17, FALSE) / VLOOKUP("transport|SO2|Infant mortality", US_national_yearly!$D:$AM, 10, FALSE), 1)</f>
        <v>2.6295824534385033E-7</v>
      </c>
      <c r="J3" s="7">
        <f>$B3 * IFERROR(VLOOKUP("transport|SO2|Infant mortality", US_national_yearly!$D:$AM, 18, FALSE) / VLOOKUP("transport|SO2|Infant mortality", US_national_yearly!$D:$AM, 10, FALSE), 1)</f>
        <v>2.6129821499255614E-7</v>
      </c>
      <c r="K3" s="7">
        <f>$B3 * IFERROR(VLOOKUP("transport|SO2|Infant mortality", US_national_yearly!$D:$AM, 19, FALSE) / VLOOKUP("transport|SO2|Infant mortality", US_national_yearly!$D:$AM, 10, FALSE), 1)</f>
        <v>2.596381846412619E-7</v>
      </c>
      <c r="L3" s="7">
        <f>$B3 * IFERROR(VLOOKUP("transport|SO2|Infant mortality", US_national_yearly!$D:$AM, 20, FALSE) / VLOOKUP("transport|SO2|Infant mortality", US_national_yearly!$D:$AM, 10, FALSE), 1)</f>
        <v>2.5797815428996771E-7</v>
      </c>
      <c r="M3" s="7">
        <f>$B3 * IFERROR(VLOOKUP("transport|SO2|Infant mortality", US_national_yearly!$D:$AM, 21, FALSE) / VLOOKUP("transport|SO2|Infant mortality", US_national_yearly!$D:$AM, 10, FALSE), 1)</f>
        <v>2.5631812393867352E-7</v>
      </c>
      <c r="N3" s="7">
        <f>$B3 * IFERROR(VLOOKUP("transport|SO2|Infant mortality", US_national_yearly!$D:$AM, 22, FALSE) / VLOOKUP("transport|SO2|Infant mortality", US_national_yearly!$D:$AM, 10, FALSE), 1)</f>
        <v>2.5527613531525264E-7</v>
      </c>
      <c r="O3" s="7">
        <f>$B3 * IFERROR(VLOOKUP("transport|SO2|Infant mortality", US_national_yearly!$D:$AM, 23, FALSE) / VLOOKUP("transport|SO2|Infant mortality", US_national_yearly!$D:$AM, 10, FALSE), 1)</f>
        <v>2.5423414669183181E-7</v>
      </c>
      <c r="P3" s="7">
        <f>$B3 * IFERROR(VLOOKUP("transport|SO2|Infant mortality", US_national_yearly!$D:$AM, 24, FALSE) / VLOOKUP("transport|SO2|Infant mortality", US_national_yearly!$D:$AM, 10, FALSE), 1)</f>
        <v>2.5319215806841093E-7</v>
      </c>
      <c r="Q3" s="7">
        <f>$B3 * IFERROR(VLOOKUP("transport|SO2|Infant mortality", US_national_yearly!$D:$AM, 25, FALSE) / VLOOKUP("transport|SO2|Infant mortality", US_national_yearly!$D:$AM, 10, FALSE), 1)</f>
        <v>2.5215016944499005E-7</v>
      </c>
      <c r="R3" s="7">
        <f>$B3 * IFERROR(VLOOKUP("transport|SO2|Infant mortality", US_national_yearly!$D:$AM, 26, FALSE) / VLOOKUP("transport|SO2|Infant mortality", US_national_yearly!$D:$AM, 10, FALSE), 1)</f>
        <v>2.5110818082156917E-7</v>
      </c>
      <c r="S3" s="7">
        <f>$B3 * IFERROR(VLOOKUP("transport|SO2|Infant mortality", US_national_yearly!$D:$AM, 27, FALSE) / VLOOKUP("transport|SO2|Infant mortality", US_national_yearly!$D:$AM, 10, FALSE), 1)</f>
        <v>2.4979990062555854E-7</v>
      </c>
      <c r="T3" s="7">
        <f>$B3 * IFERROR(VLOOKUP("transport|SO2|Infant mortality", US_national_yearly!$D:$AM, 28, FALSE) / VLOOKUP("transport|SO2|Infant mortality", US_national_yearly!$D:$AM, 10, FALSE), 1)</f>
        <v>2.4849162042954785E-7</v>
      </c>
      <c r="U3" s="7">
        <f>$B3 * IFERROR(VLOOKUP("transport|SO2|Infant mortality", US_national_yearly!$D:$AM, 29, FALSE) / VLOOKUP("transport|SO2|Infant mortality", US_national_yearly!$D:$AM, 10, FALSE), 1)</f>
        <v>2.4718334023353711E-7</v>
      </c>
      <c r="V3" s="7">
        <f>$B3 * IFERROR(VLOOKUP("transport|SO2|Infant mortality", US_national_yearly!$D:$AM, 30, FALSE) / VLOOKUP("transport|SO2|Infant mortality", US_national_yearly!$D:$AM, 10, FALSE), 1)</f>
        <v>2.4587506003752653E-7</v>
      </c>
      <c r="W3" s="7">
        <f>$B3 * IFERROR(VLOOKUP("transport|SO2|Infant mortality", US_national_yearly!$D:$AM, 31, FALSE) / VLOOKUP("transport|SO2|Infant mortality", US_national_yearly!$D:$AM, 10, FALSE), 1)</f>
        <v>2.4456677984151584E-7</v>
      </c>
      <c r="X3" s="7">
        <f>$B3 * IFERROR(VLOOKUP("transport|SO2|Infant mortality", US_national_yearly!$D:$AM, 32, FALSE) / VLOOKUP("transport|SO2|Infant mortality", US_national_yearly!$D:$AM, 10, FALSE), 1)</f>
        <v>2.4313642575771755E-7</v>
      </c>
      <c r="Y3" s="7">
        <f>$B3 * IFERROR(VLOOKUP("transport|SO2|Infant mortality", US_national_yearly!$D:$AM, 33, FALSE) / VLOOKUP("transport|SO2|Infant mortality", US_national_yearly!$D:$AM, 10, FALSE), 1)</f>
        <v>2.4170607167391927E-7</v>
      </c>
      <c r="Z3" s="7">
        <f>$B3 * IFERROR(VLOOKUP("transport|SO2|Infant mortality", US_national_yearly!$D:$AM, 34, FALSE) / VLOOKUP("transport|SO2|Infant mortality", US_national_yearly!$D:$AM, 10, FALSE), 1)</f>
        <v>2.4027571759012103E-7</v>
      </c>
      <c r="AA3" s="7">
        <f>$B3 * IFERROR(VLOOKUP("transport|SO2|Infant mortality", US_national_yearly!$D:$AM, 35, FALSE) / VLOOKUP("transport|SO2|Infant mortality", US_national_yearly!$D:$AM, 10, FALSE), 1)</f>
        <v>2.3884536350632269E-7</v>
      </c>
      <c r="AB3" s="7">
        <f>$B3 * IFERROR(VLOOKUP("transport|SO2|Infant mortality", US_national_yearly!$D:$AM, 36, FALSE) / VLOOKUP("transport|SO2|Infant mortality", US_national_yearly!$D:$AM, 10, FALSE), 1)</f>
        <v>2.3741500942252446E-7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9.5706152204252297E-4</v>
      </c>
      <c r="C6" s="7">
        <f>$B6 * IFERROR(VLOOKUP("transport|SO2|Asthma symptoms cough", US_national_yearly!$D:$AM, 11, FALSE) / VLOOKUP("transport|SO2|Asthma symptoms cough", US_national_yearly!$D:$AM, 10, FALSE), 1)</f>
        <v>9.5706152204252297E-4</v>
      </c>
      <c r="D6" s="7">
        <f>$B6 * IFERROR(VLOOKUP("transport|SO2|Asthma symptoms cough", US_national_yearly!$D:$AM, 12, FALSE) / VLOOKUP("transport|SO2|Asthma symptoms cough", US_national_yearly!$D:$AM, 10, FALSE), 1)</f>
        <v>9.5706152204252297E-4</v>
      </c>
      <c r="E6" s="7">
        <f>$B6 * IFERROR(VLOOKUP("transport|SO2|Asthma symptoms cough", US_national_yearly!$D:$AM, 13, FALSE) / VLOOKUP("transport|SO2|Asthma symptoms cough", US_national_yearly!$D:$AM, 10, FALSE), 1)</f>
        <v>9.5706152204252297E-4</v>
      </c>
      <c r="F6" s="7">
        <f>$B6 * IFERROR(VLOOKUP("transport|SO2|Asthma symptoms cough", US_national_yearly!$D:$AM, 14, FALSE) / VLOOKUP("transport|SO2|Asthma symptoms cough", US_national_yearly!$D:$AM, 10, FALSE), 1)</f>
        <v>9.5706152204252297E-4</v>
      </c>
      <c r="G6" s="7">
        <f>$B6 * IFERROR(VLOOKUP("transport|SO2|Asthma symptoms cough", US_national_yearly!$D:$AM, 15, FALSE) / VLOOKUP("transport|SO2|Asthma symptoms cough", US_national_yearly!$D:$AM, 10, FALSE), 1)</f>
        <v>9.5706152204252297E-4</v>
      </c>
      <c r="H6" s="7">
        <f>$B6 * IFERROR(VLOOKUP("transport|SO2|Asthma symptoms cough", US_national_yearly!$D:$AM, 16, FALSE) / VLOOKUP("transport|SO2|Asthma symptoms cough", US_national_yearly!$D:$AM, 10, FALSE), 1)</f>
        <v>9.5706152204252297E-4</v>
      </c>
      <c r="I6" s="7">
        <f>$B6 * IFERROR(VLOOKUP("transport|SO2|Asthma symptoms cough", US_national_yearly!$D:$AM, 17, FALSE) / VLOOKUP("transport|SO2|Asthma symptoms cough", US_national_yearly!$D:$AM, 10, FALSE), 1)</f>
        <v>9.5706152204252297E-4</v>
      </c>
      <c r="J6" s="7">
        <f>$B6 * IFERROR(VLOOKUP("transport|SO2|Asthma symptoms cough", US_national_yearly!$D:$AM, 18, FALSE) / VLOOKUP("transport|SO2|Asthma symptoms cough", US_national_yearly!$D:$AM, 10, FALSE), 1)</f>
        <v>9.5706152204252297E-4</v>
      </c>
      <c r="K6" s="7">
        <f>$B6 * IFERROR(VLOOKUP("transport|SO2|Asthma symptoms cough", US_national_yearly!$D:$AM, 19, FALSE) / VLOOKUP("transport|SO2|Asthma symptoms cough", US_national_yearly!$D:$AM, 10, FALSE), 1)</f>
        <v>9.5706152204252297E-4</v>
      </c>
      <c r="L6" s="7">
        <f>$B6 * IFERROR(VLOOKUP("transport|SO2|Asthma symptoms cough", US_national_yearly!$D:$AM, 20, FALSE) / VLOOKUP("transport|SO2|Asthma symptoms cough", US_national_yearly!$D:$AM, 10, FALSE), 1)</f>
        <v>9.5706152204252297E-4</v>
      </c>
      <c r="M6" s="7">
        <f>$B6 * IFERROR(VLOOKUP("transport|SO2|Asthma symptoms cough", US_national_yearly!$D:$AM, 21, FALSE) / VLOOKUP("transport|SO2|Asthma symptoms cough", US_national_yearly!$D:$AM, 10, FALSE), 1)</f>
        <v>9.5706152204252297E-4</v>
      </c>
      <c r="N6" s="7">
        <f>$B6 * IFERROR(VLOOKUP("transport|SO2|Asthma symptoms cough", US_national_yearly!$D:$AM, 22, FALSE) / VLOOKUP("transport|SO2|Asthma symptoms cough", US_national_yearly!$D:$AM, 10, FALSE), 1)</f>
        <v>9.5706152204252297E-4</v>
      </c>
      <c r="O6" s="7">
        <f>$B6 * IFERROR(VLOOKUP("transport|SO2|Asthma symptoms cough", US_national_yearly!$D:$AM, 23, FALSE) / VLOOKUP("transport|SO2|Asthma symptoms cough", US_national_yearly!$D:$AM, 10, FALSE), 1)</f>
        <v>9.5706152204252297E-4</v>
      </c>
      <c r="P6" s="7">
        <f>$B6 * IFERROR(VLOOKUP("transport|SO2|Asthma symptoms cough", US_national_yearly!$D:$AM, 24, FALSE) / VLOOKUP("transport|SO2|Asthma symptoms cough", US_national_yearly!$D:$AM, 10, FALSE), 1)</f>
        <v>9.5706152204252297E-4</v>
      </c>
      <c r="Q6" s="7">
        <f>$B6 * IFERROR(VLOOKUP("transport|SO2|Asthma symptoms cough", US_national_yearly!$D:$AM, 25, FALSE) / VLOOKUP("transport|SO2|Asthma symptoms cough", US_national_yearly!$D:$AM, 10, FALSE), 1)</f>
        <v>9.5706152204252297E-4</v>
      </c>
      <c r="R6" s="7">
        <f>$B6 * IFERROR(VLOOKUP("transport|SO2|Asthma symptoms cough", US_national_yearly!$D:$AM, 26, FALSE) / VLOOKUP("transport|SO2|Asthma symptoms cough", US_national_yearly!$D:$AM, 10, FALSE), 1)</f>
        <v>9.5706152204252297E-4</v>
      </c>
      <c r="S6" s="7">
        <f>$B6 * IFERROR(VLOOKUP("transport|SO2|Asthma symptoms cough", US_national_yearly!$D:$AM, 27, FALSE) / VLOOKUP("transport|SO2|Asthma symptoms cough", US_national_yearly!$D:$AM, 10, FALSE), 1)</f>
        <v>9.5706152204252297E-4</v>
      </c>
      <c r="T6" s="7">
        <f>$B6 * IFERROR(VLOOKUP("transport|SO2|Asthma symptoms cough", US_national_yearly!$D:$AM, 28, FALSE) / VLOOKUP("transport|SO2|Asthma symptoms cough", US_national_yearly!$D:$AM, 10, FALSE), 1)</f>
        <v>9.5706152204252297E-4</v>
      </c>
      <c r="U6" s="7">
        <f>$B6 * IFERROR(VLOOKUP("transport|SO2|Asthma symptoms cough", US_national_yearly!$D:$AM, 29, FALSE) / VLOOKUP("transport|SO2|Asthma symptoms cough", US_national_yearly!$D:$AM, 10, FALSE), 1)</f>
        <v>9.5706152204252297E-4</v>
      </c>
      <c r="V6" s="7">
        <f>$B6 * IFERROR(VLOOKUP("transport|SO2|Asthma symptoms cough", US_national_yearly!$D:$AM, 30, FALSE) / VLOOKUP("transport|SO2|Asthma symptoms cough", US_national_yearly!$D:$AM, 10, FALSE), 1)</f>
        <v>9.5706152204252297E-4</v>
      </c>
      <c r="W6" s="7">
        <f>$B6 * IFERROR(VLOOKUP("transport|SO2|Asthma symptoms cough", US_national_yearly!$D:$AM, 31, FALSE) / VLOOKUP("transport|SO2|Asthma symptoms cough", US_national_yearly!$D:$AM, 10, FALSE), 1)</f>
        <v>9.5706152204252297E-4</v>
      </c>
      <c r="X6" s="7">
        <f>$B6 * IFERROR(VLOOKUP("transport|SO2|Asthma symptoms cough", US_national_yearly!$D:$AM, 32, FALSE) / VLOOKUP("transport|SO2|Asthma symptoms cough", US_national_yearly!$D:$AM, 10, FALSE), 1)</f>
        <v>9.5706152204252297E-4</v>
      </c>
      <c r="Y6" s="7">
        <f>$B6 * IFERROR(VLOOKUP("transport|SO2|Asthma symptoms cough", US_national_yearly!$D:$AM, 33, FALSE) / VLOOKUP("transport|SO2|Asthma symptoms cough", US_national_yearly!$D:$AM, 10, FALSE), 1)</f>
        <v>9.5706152204252297E-4</v>
      </c>
      <c r="Z6" s="7">
        <f>$B6 * IFERROR(VLOOKUP("transport|SO2|Asthma symptoms cough", US_national_yearly!$D:$AM, 34, FALSE) / VLOOKUP("transport|SO2|Asthma symptoms cough", US_national_yearly!$D:$AM, 10, FALSE), 1)</f>
        <v>9.5706152204252297E-4</v>
      </c>
      <c r="AA6" s="7">
        <f>$B6 * IFERROR(VLOOKUP("transport|SO2|Asthma symptoms cough", US_national_yearly!$D:$AM, 35, FALSE) / VLOOKUP("transport|SO2|Asthma symptoms cough", US_national_yearly!$D:$AM, 10, FALSE), 1)</f>
        <v>9.5706152204252297E-4</v>
      </c>
      <c r="AB6" s="7">
        <f>$B6 * IFERROR(VLOOKUP("transport|SO2|Asthma symptoms cough", US_national_yearly!$D:$AM, 36, FALSE) / VLOOKUP("transport|SO2|Asthma symptoms cough", US_national_yearly!$D:$AM, 10, FALSE), 1)</f>
        <v>9.5706152204252297E-4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1.28882386338394E-3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1.28882386338394E-3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1.28882386338394E-3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1.28882386338394E-3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1.28882386338394E-3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1.28882386338394E-3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1.28882386338394E-3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1.28882386338394E-3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1.28882386338394E-3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1.28882386338394E-3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1.28882386338394E-3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1.28882386338394E-3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1.28882386338394E-3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1.28882386338394E-3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1.28882386338394E-3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1.28882386338394E-3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1.28882386338394E-3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1.28882386338394E-3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1.28882386338394E-3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1.28882386338394E-3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1.28882386338394E-3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1.28882386338394E-3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1.28882386338394E-3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1.28882386338394E-3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1.28882386338394E-3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1.28882386338394E-3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1.28882386338394E-3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1.9690987812449414E-3</v>
      </c>
      <c r="C8" s="7">
        <f>$B8 * IFERROR(VLOOKUP("transport|SO2|Asthma symptoms wheeze", US_national_yearly!$D:$AM, 11, FALSE) / VLOOKUP("transport|SO2|Asthma symptoms wheeze", US_national_yearly!$D:$AM, 10, FALSE), 1)</f>
        <v>1.9690987812449414E-3</v>
      </c>
      <c r="D8" s="7">
        <f>$B8 * IFERROR(VLOOKUP("transport|SO2|Asthma symptoms wheeze", US_national_yearly!$D:$AM, 12, FALSE) / VLOOKUP("transport|SO2|Asthma symptoms wheeze", US_national_yearly!$D:$AM, 10, FALSE), 1)</f>
        <v>1.9690987812449414E-3</v>
      </c>
      <c r="E8" s="7">
        <f>$B8 * IFERROR(VLOOKUP("transport|SO2|Asthma symptoms wheeze", US_national_yearly!$D:$AM, 13, FALSE) / VLOOKUP("transport|SO2|Asthma symptoms wheeze", US_national_yearly!$D:$AM, 10, FALSE), 1)</f>
        <v>1.9690987812449414E-3</v>
      </c>
      <c r="F8" s="7">
        <f>$B8 * IFERROR(VLOOKUP("transport|SO2|Asthma symptoms wheeze", US_national_yearly!$D:$AM, 14, FALSE) / VLOOKUP("transport|SO2|Asthma symptoms wheeze", US_national_yearly!$D:$AM, 10, FALSE), 1)</f>
        <v>1.9690987812449414E-3</v>
      </c>
      <c r="G8" s="7">
        <f>$B8 * IFERROR(VLOOKUP("transport|SO2|Asthma symptoms wheeze", US_national_yearly!$D:$AM, 15, FALSE) / VLOOKUP("transport|SO2|Asthma symptoms wheeze", US_national_yearly!$D:$AM, 10, FALSE), 1)</f>
        <v>1.9690987812449414E-3</v>
      </c>
      <c r="H8" s="7">
        <f>$B8 * IFERROR(VLOOKUP("transport|SO2|Asthma symptoms wheeze", US_national_yearly!$D:$AM, 16, FALSE) / VLOOKUP("transport|SO2|Asthma symptoms wheeze", US_national_yearly!$D:$AM, 10, FALSE), 1)</f>
        <v>1.9690987812449414E-3</v>
      </c>
      <c r="I8" s="7">
        <f>$B8 * IFERROR(VLOOKUP("transport|SO2|Asthma symptoms wheeze", US_national_yearly!$D:$AM, 17, FALSE) / VLOOKUP("transport|SO2|Asthma symptoms wheeze", US_national_yearly!$D:$AM, 10, FALSE), 1)</f>
        <v>1.9690987812449414E-3</v>
      </c>
      <c r="J8" s="7">
        <f>$B8 * IFERROR(VLOOKUP("transport|SO2|Asthma symptoms wheeze", US_national_yearly!$D:$AM, 18, FALSE) / VLOOKUP("transport|SO2|Asthma symptoms wheeze", US_national_yearly!$D:$AM, 10, FALSE), 1)</f>
        <v>1.9690987812449414E-3</v>
      </c>
      <c r="K8" s="7">
        <f>$B8 * IFERROR(VLOOKUP("transport|SO2|Asthma symptoms wheeze", US_national_yearly!$D:$AM, 19, FALSE) / VLOOKUP("transport|SO2|Asthma symptoms wheeze", US_national_yearly!$D:$AM, 10, FALSE), 1)</f>
        <v>1.9690987812449414E-3</v>
      </c>
      <c r="L8" s="7">
        <f>$B8 * IFERROR(VLOOKUP("transport|SO2|Asthma symptoms wheeze", US_national_yearly!$D:$AM, 20, FALSE) / VLOOKUP("transport|SO2|Asthma symptoms wheeze", US_national_yearly!$D:$AM, 10, FALSE), 1)</f>
        <v>1.9690987812449414E-3</v>
      </c>
      <c r="M8" s="7">
        <f>$B8 * IFERROR(VLOOKUP("transport|SO2|Asthma symptoms wheeze", US_national_yearly!$D:$AM, 21, FALSE) / VLOOKUP("transport|SO2|Asthma symptoms wheeze", US_national_yearly!$D:$AM, 10, FALSE), 1)</f>
        <v>1.9690987812449414E-3</v>
      </c>
      <c r="N8" s="7">
        <f>$B8 * IFERROR(VLOOKUP("transport|SO2|Asthma symptoms wheeze", US_national_yearly!$D:$AM, 22, FALSE) / VLOOKUP("transport|SO2|Asthma symptoms wheeze", US_national_yearly!$D:$AM, 10, FALSE), 1)</f>
        <v>1.9690987812449414E-3</v>
      </c>
      <c r="O8" s="7">
        <f>$B8 * IFERROR(VLOOKUP("transport|SO2|Asthma symptoms wheeze", US_national_yearly!$D:$AM, 23, FALSE) / VLOOKUP("transport|SO2|Asthma symptoms wheeze", US_national_yearly!$D:$AM, 10, FALSE), 1)</f>
        <v>1.9690987812449414E-3</v>
      </c>
      <c r="P8" s="7">
        <f>$B8 * IFERROR(VLOOKUP("transport|SO2|Asthma symptoms wheeze", US_national_yearly!$D:$AM, 24, FALSE) / VLOOKUP("transport|SO2|Asthma symptoms wheeze", US_national_yearly!$D:$AM, 10, FALSE), 1)</f>
        <v>1.9690987812449414E-3</v>
      </c>
      <c r="Q8" s="7">
        <f>$B8 * IFERROR(VLOOKUP("transport|SO2|Asthma symptoms wheeze", US_national_yearly!$D:$AM, 25, FALSE) / VLOOKUP("transport|SO2|Asthma symptoms wheeze", US_national_yearly!$D:$AM, 10, FALSE), 1)</f>
        <v>1.9690987812449414E-3</v>
      </c>
      <c r="R8" s="7">
        <f>$B8 * IFERROR(VLOOKUP("transport|SO2|Asthma symptoms wheeze", US_national_yearly!$D:$AM, 26, FALSE) / VLOOKUP("transport|SO2|Asthma symptoms wheeze", US_national_yearly!$D:$AM, 10, FALSE), 1)</f>
        <v>1.9690987812449414E-3</v>
      </c>
      <c r="S8" s="7">
        <f>$B8 * IFERROR(VLOOKUP("transport|SO2|Asthma symptoms wheeze", US_national_yearly!$D:$AM, 27, FALSE) / VLOOKUP("transport|SO2|Asthma symptoms wheeze", US_national_yearly!$D:$AM, 10, FALSE), 1)</f>
        <v>1.9690987812449414E-3</v>
      </c>
      <c r="T8" s="7">
        <f>$B8 * IFERROR(VLOOKUP("transport|SO2|Asthma symptoms wheeze", US_national_yearly!$D:$AM, 28, FALSE) / VLOOKUP("transport|SO2|Asthma symptoms wheeze", US_national_yearly!$D:$AM, 10, FALSE), 1)</f>
        <v>1.9690987812449414E-3</v>
      </c>
      <c r="U8" s="7">
        <f>$B8 * IFERROR(VLOOKUP("transport|SO2|Asthma symptoms wheeze", US_national_yearly!$D:$AM, 29, FALSE) / VLOOKUP("transport|SO2|Asthma symptoms wheeze", US_national_yearly!$D:$AM, 10, FALSE), 1)</f>
        <v>1.9690987812449414E-3</v>
      </c>
      <c r="V8" s="7">
        <f>$B8 * IFERROR(VLOOKUP("transport|SO2|Asthma symptoms wheeze", US_national_yearly!$D:$AM, 30, FALSE) / VLOOKUP("transport|SO2|Asthma symptoms wheeze", US_national_yearly!$D:$AM, 10, FALSE), 1)</f>
        <v>1.9690987812449414E-3</v>
      </c>
      <c r="W8" s="7">
        <f>$B8 * IFERROR(VLOOKUP("transport|SO2|Asthma symptoms wheeze", US_national_yearly!$D:$AM, 31, FALSE) / VLOOKUP("transport|SO2|Asthma symptoms wheeze", US_national_yearly!$D:$AM, 10, FALSE), 1)</f>
        <v>1.9690987812449414E-3</v>
      </c>
      <c r="X8" s="7">
        <f>$B8 * IFERROR(VLOOKUP("transport|SO2|Asthma symptoms wheeze", US_national_yearly!$D:$AM, 32, FALSE) / VLOOKUP("transport|SO2|Asthma symptoms wheeze", US_national_yearly!$D:$AM, 10, FALSE), 1)</f>
        <v>1.9690987812449414E-3</v>
      </c>
      <c r="Y8" s="7">
        <f>$B8 * IFERROR(VLOOKUP("transport|SO2|Asthma symptoms wheeze", US_national_yearly!$D:$AM, 33, FALSE) / VLOOKUP("transport|SO2|Asthma symptoms wheeze", US_national_yearly!$D:$AM, 10, FALSE), 1)</f>
        <v>1.9690987812449414E-3</v>
      </c>
      <c r="Z8" s="7">
        <f>$B8 * IFERROR(VLOOKUP("transport|SO2|Asthma symptoms wheeze", US_national_yearly!$D:$AM, 34, FALSE) / VLOOKUP("transport|SO2|Asthma symptoms wheeze", US_national_yearly!$D:$AM, 10, FALSE), 1)</f>
        <v>1.9690987812449414E-3</v>
      </c>
      <c r="AA8" s="7">
        <f>$B8 * IFERROR(VLOOKUP("transport|SO2|Asthma symptoms wheeze", US_national_yearly!$D:$AM, 35, FALSE) / VLOOKUP("transport|SO2|Asthma symptoms wheeze", US_national_yearly!$D:$AM, 10, FALSE), 1)</f>
        <v>1.9690987812449414E-3</v>
      </c>
      <c r="AB8" s="7">
        <f>$B8 * IFERROR(VLOOKUP("transport|SO2|Asthma symptoms wheeze", US_national_yearly!$D:$AM, 36, FALSE) / VLOOKUP("transport|SO2|Asthma symptoms wheeze", US_national_yearly!$D:$AM, 10, FALSE), 1)</f>
        <v>1.9690987812449414E-3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1.8560976607306924E-5</v>
      </c>
      <c r="C12" s="7">
        <f>$B12 * IFERROR(VLOOKUP("transport|SO2|Respiratory hospital admissions", US_national_yearly!$D:$AM, 11, FALSE) / VLOOKUP("transport|SO2|Respiratory hospital admissions", US_national_yearly!$D:$AM, 10, FALSE), 1)</f>
        <v>1.8670450169722689E-5</v>
      </c>
      <c r="D12" s="7">
        <f>$B12 * IFERROR(VLOOKUP("transport|SO2|Respiratory hospital admissions", US_national_yearly!$D:$AM, 12, FALSE) / VLOOKUP("transport|SO2|Respiratory hospital admissions", US_national_yearly!$D:$AM, 10, FALSE), 1)</f>
        <v>1.877992373213845E-5</v>
      </c>
      <c r="E12" s="7">
        <f>$B12 * IFERROR(VLOOKUP("transport|SO2|Respiratory hospital admissions", US_national_yearly!$D:$AM, 13, FALSE) / VLOOKUP("transport|SO2|Respiratory hospital admissions", US_national_yearly!$D:$AM, 10, FALSE), 1)</f>
        <v>1.8889397294554214E-5</v>
      </c>
      <c r="F12" s="7">
        <f>$B12 * IFERROR(VLOOKUP("transport|SO2|Respiratory hospital admissions", US_national_yearly!$D:$AM, 14, FALSE) / VLOOKUP("transport|SO2|Respiratory hospital admissions", US_national_yearly!$D:$AM, 10, FALSE), 1)</f>
        <v>1.8998870856969975E-5</v>
      </c>
      <c r="G12" s="7">
        <f>$B12 * IFERROR(VLOOKUP("transport|SO2|Respiratory hospital admissions", US_national_yearly!$D:$AM, 15, FALSE) / VLOOKUP("transport|SO2|Respiratory hospital admissions", US_national_yearly!$D:$AM, 10, FALSE), 1)</f>
        <v>1.9118215505017828E-5</v>
      </c>
      <c r="H12" s="7">
        <f>$B12 * IFERROR(VLOOKUP("transport|SO2|Respiratory hospital admissions", US_national_yearly!$D:$AM, 16, FALSE) / VLOOKUP("transport|SO2|Respiratory hospital admissions", US_national_yearly!$D:$AM, 10, FALSE), 1)</f>
        <v>1.9237560153065678E-5</v>
      </c>
      <c r="I12" s="7">
        <f>$B12 * IFERROR(VLOOKUP("transport|SO2|Respiratory hospital admissions", US_national_yearly!$D:$AM, 17, FALSE) / VLOOKUP("transport|SO2|Respiratory hospital admissions", US_national_yearly!$D:$AM, 10, FALSE), 1)</f>
        <v>1.9355248185707608E-5</v>
      </c>
      <c r="J12" s="7">
        <f>$B12 * IFERROR(VLOOKUP("transport|SO2|Respiratory hospital admissions", US_national_yearly!$D:$AM, 18, FALSE) / VLOOKUP("transport|SO2|Respiratory hospital admissions", US_national_yearly!$D:$AM, 10, FALSE), 1)</f>
        <v>1.9472936218349542E-5</v>
      </c>
      <c r="K12" s="7">
        <f>$B12 * IFERROR(VLOOKUP("transport|SO2|Respiratory hospital admissions", US_national_yearly!$D:$AM, 19, FALSE) / VLOOKUP("transport|SO2|Respiratory hospital admissions", US_national_yearly!$D:$AM, 10, FALSE), 1)</f>
        <v>1.9590624250991465E-5</v>
      </c>
      <c r="L12" s="7">
        <f>$B12 * IFERROR(VLOOKUP("transport|SO2|Respiratory hospital admissions", US_national_yearly!$D:$AM, 20, FALSE) / VLOOKUP("transport|SO2|Respiratory hospital admissions", US_national_yearly!$D:$AM, 10, FALSE), 1)</f>
        <v>1.9708312283633399E-5</v>
      </c>
      <c r="M12" s="7">
        <f>$B12 * IFERROR(VLOOKUP("transport|SO2|Respiratory hospital admissions", US_national_yearly!$D:$AM, 21, FALSE) / VLOOKUP("transport|SO2|Respiratory hospital admissions", US_national_yearly!$D:$AM, 10, FALSE), 1)</f>
        <v>1.9826000316275326E-5</v>
      </c>
      <c r="N12" s="7">
        <f>$B12 * IFERROR(VLOOKUP("transport|SO2|Respiratory hospital admissions", US_national_yearly!$D:$AM, 22, FALSE) / VLOOKUP("transport|SO2|Respiratory hospital admissions", US_national_yearly!$D:$AM, 10, FALSE), 1)</f>
        <v>1.9911908947239405E-5</v>
      </c>
      <c r="O12" s="7">
        <f>$B12 * IFERROR(VLOOKUP("transport|SO2|Respiratory hospital admissions", US_national_yearly!$D:$AM, 23, FALSE) / VLOOKUP("transport|SO2|Respiratory hospital admissions", US_national_yearly!$D:$AM, 10, FALSE), 1)</f>
        <v>1.999781757820348E-5</v>
      </c>
      <c r="P12" s="7">
        <f>$B12 * IFERROR(VLOOKUP("transport|SO2|Respiratory hospital admissions", US_national_yearly!$D:$AM, 24, FALSE) / VLOOKUP("transport|SO2|Respiratory hospital admissions", US_national_yearly!$D:$AM, 10, FALSE), 1)</f>
        <v>2.0083726209167556E-5</v>
      </c>
      <c r="Q12" s="7">
        <f>$B12 * IFERROR(VLOOKUP("transport|SO2|Respiratory hospital admissions", US_national_yearly!$D:$AM, 25, FALSE) / VLOOKUP("transport|SO2|Respiratory hospital admissions", US_national_yearly!$D:$AM, 10, FALSE), 1)</f>
        <v>2.0169634840131638E-5</v>
      </c>
      <c r="R12" s="7">
        <f>$B12 * IFERROR(VLOOKUP("transport|SO2|Respiratory hospital admissions", US_national_yearly!$D:$AM, 26, FALSE) / VLOOKUP("transport|SO2|Respiratory hospital admissions", US_national_yearly!$D:$AM, 10, FALSE), 1)</f>
        <v>2.0255543471095714E-5</v>
      </c>
      <c r="S12" s="7">
        <f>$B12 * IFERROR(VLOOKUP("transport|SO2|Respiratory hospital admissions", US_national_yearly!$D:$AM, 27, FALSE) / VLOOKUP("transport|SO2|Respiratory hospital admissions", US_national_yearly!$D:$AM, 10, FALSE), 1)</f>
        <v>2.0337493750021932E-5</v>
      </c>
      <c r="T12" s="7">
        <f>$B12 * IFERROR(VLOOKUP("transport|SO2|Respiratory hospital admissions", US_national_yearly!$D:$AM, 28, FALSE) / VLOOKUP("transport|SO2|Respiratory hospital admissions", US_national_yearly!$D:$AM, 10, FALSE), 1)</f>
        <v>2.0419444028948147E-5</v>
      </c>
      <c r="U12" s="7">
        <f>$B12 * IFERROR(VLOOKUP("transport|SO2|Respiratory hospital admissions", US_national_yearly!$D:$AM, 29, FALSE) / VLOOKUP("transport|SO2|Respiratory hospital admissions", US_national_yearly!$D:$AM, 10, FALSE), 1)</f>
        <v>2.0501394307874369E-5</v>
      </c>
      <c r="V12" s="7">
        <f>$B12 * IFERROR(VLOOKUP("transport|SO2|Respiratory hospital admissions", US_national_yearly!$D:$AM, 30, FALSE) / VLOOKUP("transport|SO2|Respiratory hospital admissions", US_national_yearly!$D:$AM, 10, FALSE), 1)</f>
        <v>2.0583344586800587E-5</v>
      </c>
      <c r="W12" s="7">
        <f>$B12 * IFERROR(VLOOKUP("transport|SO2|Respiratory hospital admissions", US_national_yearly!$D:$AM, 31, FALSE) / VLOOKUP("transport|SO2|Respiratory hospital admissions", US_national_yearly!$D:$AM, 10, FALSE), 1)</f>
        <v>2.0665294865726809E-5</v>
      </c>
      <c r="X12" s="7">
        <f>$B12 * IFERROR(VLOOKUP("transport|SO2|Respiratory hospital admissions", US_national_yearly!$D:$AM, 32, FALSE) / VLOOKUP("transport|SO2|Respiratory hospital admissions", US_national_yearly!$D:$AM, 10, FALSE), 1)</f>
        <v>2.0743052225790933E-5</v>
      </c>
      <c r="Y12" s="7">
        <f>$B12 * IFERROR(VLOOKUP("transport|SO2|Respiratory hospital admissions", US_national_yearly!$D:$AM, 33, FALSE) / VLOOKUP("transport|SO2|Respiratory hospital admissions", US_national_yearly!$D:$AM, 10, FALSE), 1)</f>
        <v>2.0820809585855058E-5</v>
      </c>
      <c r="Z12" s="7">
        <f>$B12 * IFERROR(VLOOKUP("transport|SO2|Respiratory hospital admissions", US_national_yearly!$D:$AM, 34, FALSE) / VLOOKUP("transport|SO2|Respiratory hospital admissions", US_national_yearly!$D:$AM, 10, FALSE), 1)</f>
        <v>2.0898566945919182E-5</v>
      </c>
      <c r="AA12" s="7">
        <f>$B12 * IFERROR(VLOOKUP("transport|SO2|Respiratory hospital admissions", US_national_yearly!$D:$AM, 35, FALSE) / VLOOKUP("transport|SO2|Respiratory hospital admissions", US_national_yearly!$D:$AM, 10, FALSE), 1)</f>
        <v>2.0976324305983307E-5</v>
      </c>
      <c r="AB12" s="7">
        <f>$B12 * IFERROR(VLOOKUP("transport|SO2|Respiratory hospital admissions", US_national_yearly!$D:$AM, 36, FALSE) / VLOOKUP("transport|SO2|Respiratory hospital admissions", US_national_yearly!$D:$AM, 10, FALSE), 1)</f>
        <v>2.1054081666047435E-5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2.7974237173705724E-5</v>
      </c>
      <c r="C13" s="7">
        <f>$B13 * IFERROR(VLOOKUP("transport|SO2|Non-fatal heart attacks", US_national_yearly!$D:$AM, 11, FALSE) / VLOOKUP("transport|SO2|Non-fatal heart attacks", US_national_yearly!$D:$AM, 10, FALSE), 1)</f>
        <v>2.8795459169125063E-5</v>
      </c>
      <c r="D13" s="7">
        <f>$B13 * IFERROR(VLOOKUP("transport|SO2|Non-fatal heart attacks", US_national_yearly!$D:$AM, 12, FALSE) / VLOOKUP("transport|SO2|Non-fatal heart attacks", US_national_yearly!$D:$AM, 10, FALSE), 1)</f>
        <v>2.9616681164544405E-5</v>
      </c>
      <c r="E13" s="7">
        <f>$B13 * IFERROR(VLOOKUP("transport|SO2|Non-fatal heart attacks", US_national_yearly!$D:$AM, 13, FALSE) / VLOOKUP("transport|SO2|Non-fatal heart attacks", US_national_yearly!$D:$AM, 10, FALSE), 1)</f>
        <v>3.0437903159963744E-5</v>
      </c>
      <c r="F13" s="7">
        <f>$B13 * IFERROR(VLOOKUP("transport|SO2|Non-fatal heart attacks", US_national_yearly!$D:$AM, 14, FALSE) / VLOOKUP("transport|SO2|Non-fatal heart attacks", US_national_yearly!$D:$AM, 10, FALSE), 1)</f>
        <v>3.125912515538308E-5</v>
      </c>
      <c r="G13" s="7">
        <f>$B13 * IFERROR(VLOOKUP("transport|SO2|Non-fatal heart attacks", US_national_yearly!$D:$AM, 15, FALSE) / VLOOKUP("transport|SO2|Non-fatal heart attacks", US_national_yearly!$D:$AM, 10, FALSE), 1)</f>
        <v>3.2033613670056987E-5</v>
      </c>
      <c r="H13" s="7">
        <f>$B13 * IFERROR(VLOOKUP("transport|SO2|Non-fatal heart attacks", US_national_yearly!$D:$AM, 16, FALSE) / VLOOKUP("transport|SO2|Non-fatal heart attacks", US_national_yearly!$D:$AM, 10, FALSE), 1)</f>
        <v>3.28081021847309E-5</v>
      </c>
      <c r="I13" s="7">
        <f>$B13 * IFERROR(VLOOKUP("transport|SO2|Non-fatal heart attacks", US_national_yearly!$D:$AM, 17, FALSE) / VLOOKUP("transport|SO2|Non-fatal heart attacks", US_national_yearly!$D:$AM, 10, FALSE), 1)</f>
        <v>3.3431322648122892E-5</v>
      </c>
      <c r="J13" s="7">
        <f>$B13 * IFERROR(VLOOKUP("transport|SO2|Non-fatal heart attacks", US_national_yearly!$D:$AM, 18, FALSE) / VLOOKUP("transport|SO2|Non-fatal heart attacks", US_national_yearly!$D:$AM, 10, FALSE), 1)</f>
        <v>3.4054543111514891E-5</v>
      </c>
      <c r="K13" s="7">
        <f>$B13 * IFERROR(VLOOKUP("transport|SO2|Non-fatal heart attacks", US_national_yearly!$D:$AM, 19, FALSE) / VLOOKUP("transport|SO2|Non-fatal heart attacks", US_national_yearly!$D:$AM, 10, FALSE), 1)</f>
        <v>3.4677763574906883E-5</v>
      </c>
      <c r="L13" s="7">
        <f>$B13 * IFERROR(VLOOKUP("transport|SO2|Non-fatal heart attacks", US_national_yearly!$D:$AM, 20, FALSE) / VLOOKUP("transport|SO2|Non-fatal heart attacks", US_national_yearly!$D:$AM, 10, FALSE), 1)</f>
        <v>3.5300984038298889E-5</v>
      </c>
      <c r="M13" s="7">
        <f>$B13 * IFERROR(VLOOKUP("transport|SO2|Non-fatal heart attacks", US_national_yearly!$D:$AM, 21, FALSE) / VLOOKUP("transport|SO2|Non-fatal heart attacks", US_national_yearly!$D:$AM, 10, FALSE), 1)</f>
        <v>3.5924204501690888E-5</v>
      </c>
      <c r="N13" s="7">
        <f>$B13 * IFERROR(VLOOKUP("transport|SO2|Non-fatal heart attacks", US_national_yearly!$D:$AM, 22, FALSE) / VLOOKUP("transport|SO2|Non-fatal heart attacks", US_national_yearly!$D:$AM, 10, FALSE), 1)</f>
        <v>3.6328869078073479E-5</v>
      </c>
      <c r="O13" s="7">
        <f>$B13 * IFERROR(VLOOKUP("transport|SO2|Non-fatal heart attacks", US_national_yearly!$D:$AM, 23, FALSE) / VLOOKUP("transport|SO2|Non-fatal heart attacks", US_national_yearly!$D:$AM, 10, FALSE), 1)</f>
        <v>3.6733533654456083E-5</v>
      </c>
      <c r="P13" s="7">
        <f>$B13 * IFERROR(VLOOKUP("transport|SO2|Non-fatal heart attacks", US_national_yearly!$D:$AM, 24, FALSE) / VLOOKUP("transport|SO2|Non-fatal heart attacks", US_national_yearly!$D:$AM, 10, FALSE), 1)</f>
        <v>3.7138198230838688E-5</v>
      </c>
      <c r="Q13" s="7">
        <f>$B13 * IFERROR(VLOOKUP("transport|SO2|Non-fatal heart attacks", US_national_yearly!$D:$AM, 25, FALSE) / VLOOKUP("transport|SO2|Non-fatal heart attacks", US_national_yearly!$D:$AM, 10, FALSE), 1)</f>
        <v>3.7542862807221286E-5</v>
      </c>
      <c r="R13" s="7">
        <f>$B13 * IFERROR(VLOOKUP("transport|SO2|Non-fatal heart attacks", US_national_yearly!$D:$AM, 26, FALSE) / VLOOKUP("transport|SO2|Non-fatal heart attacks", US_national_yearly!$D:$AM, 10, FALSE), 1)</f>
        <v>3.7947527383603891E-5</v>
      </c>
      <c r="S13" s="7">
        <f>$B13 * IFERROR(VLOOKUP("transport|SO2|Non-fatal heart attacks", US_national_yearly!$D:$AM, 27, FALSE) / VLOOKUP("transport|SO2|Non-fatal heart attacks", US_national_yearly!$D:$AM, 10, FALSE), 1)</f>
        <v>3.8158800482780365E-5</v>
      </c>
      <c r="T13" s="7">
        <f>$B13 * IFERROR(VLOOKUP("transport|SO2|Non-fatal heart attacks", US_national_yearly!$D:$AM, 28, FALSE) / VLOOKUP("transport|SO2|Non-fatal heart attacks", US_national_yearly!$D:$AM, 10, FALSE), 1)</f>
        <v>3.8370073581956846E-5</v>
      </c>
      <c r="U13" s="7">
        <f>$B13 * IFERROR(VLOOKUP("transport|SO2|Non-fatal heart attacks", US_national_yearly!$D:$AM, 29, FALSE) / VLOOKUP("transport|SO2|Non-fatal heart attacks", US_national_yearly!$D:$AM, 10, FALSE), 1)</f>
        <v>3.858134668113332E-5</v>
      </c>
      <c r="V13" s="7">
        <f>$B13 * IFERROR(VLOOKUP("transport|SO2|Non-fatal heart attacks", US_national_yearly!$D:$AM, 30, FALSE) / VLOOKUP("transport|SO2|Non-fatal heart attacks", US_national_yearly!$D:$AM, 10, FALSE), 1)</f>
        <v>3.8792619780309794E-5</v>
      </c>
      <c r="W13" s="7">
        <f>$B13 * IFERROR(VLOOKUP("transport|SO2|Non-fatal heart attacks", US_national_yearly!$D:$AM, 31, FALSE) / VLOOKUP("transport|SO2|Non-fatal heart attacks", US_national_yearly!$D:$AM, 10, FALSE), 1)</f>
        <v>3.9003892879486282E-5</v>
      </c>
      <c r="X13" s="7">
        <f>$B13 * IFERROR(VLOOKUP("transport|SO2|Non-fatal heart attacks", US_national_yearly!$D:$AM, 32, FALSE) / VLOOKUP("transport|SO2|Non-fatal heart attacks", US_national_yearly!$D:$AM, 10, FALSE), 1)</f>
        <v>3.9163385588492888E-5</v>
      </c>
      <c r="Y13" s="7">
        <f>$B13 * IFERROR(VLOOKUP("transport|SO2|Non-fatal heart attacks", US_national_yearly!$D:$AM, 33, FALSE) / VLOOKUP("transport|SO2|Non-fatal heart attacks", US_national_yearly!$D:$AM, 10, FALSE), 1)</f>
        <v>3.9322878297499495E-5</v>
      </c>
      <c r="Z13" s="7">
        <f>$B13 * IFERROR(VLOOKUP("transport|SO2|Non-fatal heart attacks", US_national_yearly!$D:$AM, 34, FALSE) / VLOOKUP("transport|SO2|Non-fatal heart attacks", US_national_yearly!$D:$AM, 10, FALSE), 1)</f>
        <v>3.9482371006506095E-5</v>
      </c>
      <c r="AA13" s="7">
        <f>$B13 * IFERROR(VLOOKUP("transport|SO2|Non-fatal heart attacks", US_national_yearly!$D:$AM, 35, FALSE) / VLOOKUP("transport|SO2|Non-fatal heart attacks", US_national_yearly!$D:$AM, 10, FALSE), 1)</f>
        <v>3.9641863715512701E-5</v>
      </c>
      <c r="AB13" s="7">
        <f>$B13 * IFERROR(VLOOKUP("transport|SO2|Non-fatal heart attacks", US_national_yearly!$D:$AM, 36, FALSE) / VLOOKUP("transport|SO2|Non-fatal heart attacks", US_national_yearly!$D:$AM, 10, FALSE), 1)</f>
        <v>3.9801356424519308E-5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0.12063592879330427</v>
      </c>
      <c r="C14" s="7">
        <f>$B14 * IFERROR(VLOOKUP("transport|SO2|Minor restricted activity days", US_national_yearly!$D:$AM, 11, FALSE) / VLOOKUP("transport|SO2|Minor restricted activity days", US_national_yearly!$D:$AM, 10, FALSE), 1)</f>
        <v>0.12094001177482691</v>
      </c>
      <c r="D14" s="7">
        <f>$B14 * IFERROR(VLOOKUP("transport|SO2|Minor restricted activity days", US_national_yearly!$D:$AM, 12, FALSE) / VLOOKUP("transport|SO2|Minor restricted activity days", US_national_yearly!$D:$AM, 10, FALSE), 1)</f>
        <v>0.12124409475634952</v>
      </c>
      <c r="E14" s="7">
        <f>$B14 * IFERROR(VLOOKUP("transport|SO2|Minor restricted activity days", US_national_yearly!$D:$AM, 13, FALSE) / VLOOKUP("transport|SO2|Minor restricted activity days", US_national_yearly!$D:$AM, 10, FALSE), 1)</f>
        <v>0.12154817773787216</v>
      </c>
      <c r="F14" s="7">
        <f>$B14 * IFERROR(VLOOKUP("transport|SO2|Minor restricted activity days", US_national_yearly!$D:$AM, 14, FALSE) / VLOOKUP("transport|SO2|Minor restricted activity days", US_national_yearly!$D:$AM, 10, FALSE), 1)</f>
        <v>0.12185226071939478</v>
      </c>
      <c r="G14" s="7">
        <f>$B14 * IFERROR(VLOOKUP("transport|SO2|Minor restricted activity days", US_national_yearly!$D:$AM, 15, FALSE) / VLOOKUP("transport|SO2|Minor restricted activity days", US_national_yearly!$D:$AM, 10, FALSE), 1)</f>
        <v>0.12229984099491717</v>
      </c>
      <c r="H14" s="7">
        <f>$B14 * IFERROR(VLOOKUP("transport|SO2|Minor restricted activity days", US_national_yearly!$D:$AM, 16, FALSE) / VLOOKUP("transport|SO2|Minor restricted activity days", US_national_yearly!$D:$AM, 10, FALSE), 1)</f>
        <v>0.12274742127043957</v>
      </c>
      <c r="I14" s="7">
        <f>$B14 * IFERROR(VLOOKUP("transport|SO2|Minor restricted activity days", US_national_yearly!$D:$AM, 17, FALSE) / VLOOKUP("transport|SO2|Minor restricted activity days", US_national_yearly!$D:$AM, 10, FALSE), 1)</f>
        <v>0.12351072771097335</v>
      </c>
      <c r="J14" s="7">
        <f>$B14 * IFERROR(VLOOKUP("transport|SO2|Minor restricted activity days", US_national_yearly!$D:$AM, 18, FALSE) / VLOOKUP("transport|SO2|Minor restricted activity days", US_national_yearly!$D:$AM, 10, FALSE), 1)</f>
        <v>0.12427403415150713</v>
      </c>
      <c r="K14" s="7">
        <f>$B14 * IFERROR(VLOOKUP("transport|SO2|Minor restricted activity days", US_national_yearly!$D:$AM, 19, FALSE) / VLOOKUP("transport|SO2|Minor restricted activity days", US_national_yearly!$D:$AM, 10, FALSE), 1)</f>
        <v>0.12503734059204094</v>
      </c>
      <c r="L14" s="7">
        <f>$B14 * IFERROR(VLOOKUP("transport|SO2|Minor restricted activity days", US_national_yearly!$D:$AM, 20, FALSE) / VLOOKUP("transport|SO2|Minor restricted activity days", US_national_yearly!$D:$AM, 10, FALSE), 1)</f>
        <v>0.12580064703257474</v>
      </c>
      <c r="M14" s="7">
        <f>$B14 * IFERROR(VLOOKUP("transport|SO2|Minor restricted activity days", US_national_yearly!$D:$AM, 21, FALSE) / VLOOKUP("transport|SO2|Minor restricted activity days", US_national_yearly!$D:$AM, 10, FALSE), 1)</f>
        <v>0.1265639534731085</v>
      </c>
      <c r="N14" s="7">
        <f>$B14 * IFERROR(VLOOKUP("transport|SO2|Minor restricted activity days", US_national_yearly!$D:$AM, 22, FALSE) / VLOOKUP("transport|SO2|Minor restricted activity days", US_national_yearly!$D:$AM, 10, FALSE), 1)</f>
        <v>0.12760803420438707</v>
      </c>
      <c r="O14" s="7">
        <f>$B14 * IFERROR(VLOOKUP("transport|SO2|Minor restricted activity days", US_national_yearly!$D:$AM, 23, FALSE) / VLOOKUP("transport|SO2|Minor restricted activity days", US_national_yearly!$D:$AM, 10, FALSE), 1)</f>
        <v>0.12865211493566564</v>
      </c>
      <c r="P14" s="7">
        <f>$B14 * IFERROR(VLOOKUP("transport|SO2|Minor restricted activity days", US_national_yearly!$D:$AM, 24, FALSE) / VLOOKUP("transport|SO2|Minor restricted activity days", US_national_yearly!$D:$AM, 10, FALSE), 1)</f>
        <v>0.12969619566694421</v>
      </c>
      <c r="Q14" s="7">
        <f>$B14 * IFERROR(VLOOKUP("transport|SO2|Minor restricted activity days", US_national_yearly!$D:$AM, 25, FALSE) / VLOOKUP("transport|SO2|Minor restricted activity days", US_national_yearly!$D:$AM, 10, FALSE), 1)</f>
        <v>0.13074027639822278</v>
      </c>
      <c r="R14" s="7">
        <f>$B14 * IFERROR(VLOOKUP("transport|SO2|Minor restricted activity days", US_national_yearly!$D:$AM, 26, FALSE) / VLOOKUP("transport|SO2|Minor restricted activity days", US_national_yearly!$D:$AM, 10, FALSE), 1)</f>
        <v>0.13178435712950134</v>
      </c>
      <c r="S14" s="7">
        <f>$B14 * IFERROR(VLOOKUP("transport|SO2|Minor restricted activity days", US_national_yearly!$D:$AM, 27, FALSE) / VLOOKUP("transport|SO2|Minor restricted activity days", US_national_yearly!$D:$AM, 10, FALSE), 1)</f>
        <v>0.13284889962331889</v>
      </c>
      <c r="T14" s="7">
        <f>$B14 * IFERROR(VLOOKUP("transport|SO2|Minor restricted activity days", US_national_yearly!$D:$AM, 28, FALSE) / VLOOKUP("transport|SO2|Minor restricted activity days", US_national_yearly!$D:$AM, 10, FALSE), 1)</f>
        <v>0.13391344211713643</v>
      </c>
      <c r="U14" s="7">
        <f>$B14 * IFERROR(VLOOKUP("transport|SO2|Minor restricted activity days", US_national_yearly!$D:$AM, 29, FALSE) / VLOOKUP("transport|SO2|Minor restricted activity days", US_national_yearly!$D:$AM, 10, FALSE), 1)</f>
        <v>0.134977984610954</v>
      </c>
      <c r="V14" s="7">
        <f>$B14 * IFERROR(VLOOKUP("transport|SO2|Minor restricted activity days", US_national_yearly!$D:$AM, 30, FALSE) / VLOOKUP("transport|SO2|Minor restricted activity days", US_national_yearly!$D:$AM, 10, FALSE), 1)</f>
        <v>0.13604252710477155</v>
      </c>
      <c r="W14" s="7">
        <f>$B14 * IFERROR(VLOOKUP("transport|SO2|Minor restricted activity days", US_national_yearly!$D:$AM, 31, FALSE) / VLOOKUP("transport|SO2|Minor restricted activity days", US_national_yearly!$D:$AM, 10, FALSE), 1)</f>
        <v>0.13710706959858915</v>
      </c>
      <c r="X14" s="7">
        <f>$B14 * IFERROR(VLOOKUP("transport|SO2|Minor restricted activity days", US_national_yearly!$D:$AM, 32, FALSE) / VLOOKUP("transport|SO2|Minor restricted activity days", US_national_yearly!$D:$AM, 10, FALSE), 1)</f>
        <v>0.13804324988977035</v>
      </c>
      <c r="Y14" s="7">
        <f>$B14 * IFERROR(VLOOKUP("transport|SO2|Minor restricted activity days", US_national_yearly!$D:$AM, 33, FALSE) / VLOOKUP("transport|SO2|Minor restricted activity days", US_national_yearly!$D:$AM, 10, FALSE), 1)</f>
        <v>0.13897943018095152</v>
      </c>
      <c r="Z14" s="7">
        <f>$B14 * IFERROR(VLOOKUP("transport|SO2|Minor restricted activity days", US_national_yearly!$D:$AM, 34, FALSE) / VLOOKUP("transport|SO2|Minor restricted activity days", US_national_yearly!$D:$AM, 10, FALSE), 1)</f>
        <v>0.13991561047213275</v>
      </c>
      <c r="AA14" s="7">
        <f>$B14 * IFERROR(VLOOKUP("transport|SO2|Minor restricted activity days", US_national_yearly!$D:$AM, 35, FALSE) / VLOOKUP("transport|SO2|Minor restricted activity days", US_national_yearly!$D:$AM, 10, FALSE), 1)</f>
        <v>0.14085179076331394</v>
      </c>
      <c r="AB14" s="7">
        <f>$B14 * IFERROR(VLOOKUP("transport|SO2|Minor restricted activity days", US_national_yearly!$D:$AM, 36, FALSE) / VLOOKUP("transport|SO2|Minor restricted activity days", US_national_yearly!$D:$AM, 10, FALSE), 1)</f>
        <v>0.14178797105449514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2.0452455578113392E-2</v>
      </c>
      <c r="C15" s="7">
        <f>$B15 * IFERROR(VLOOKUP("transport|SO2|Work loss days", US_national_yearly!$D:$AM, 11, FALSE) / VLOOKUP("transport|SO2|Work loss days", US_national_yearly!$D:$AM, 10, FALSE), 1)</f>
        <v>2.0518718283556198E-2</v>
      </c>
      <c r="D15" s="7">
        <f>$B15 * IFERROR(VLOOKUP("transport|SO2|Work loss days", US_national_yearly!$D:$AM, 12, FALSE) / VLOOKUP("transport|SO2|Work loss days", US_national_yearly!$D:$AM, 10, FALSE), 1)</f>
        <v>2.0584980988999003E-2</v>
      </c>
      <c r="E15" s="7">
        <f>$B15 * IFERROR(VLOOKUP("transport|SO2|Work loss days", US_national_yearly!$D:$AM, 13, FALSE) / VLOOKUP("transport|SO2|Work loss days", US_national_yearly!$D:$AM, 10, FALSE), 1)</f>
        <v>2.0651243694441809E-2</v>
      </c>
      <c r="F15" s="7">
        <f>$B15 * IFERROR(VLOOKUP("transport|SO2|Work loss days", US_national_yearly!$D:$AM, 14, FALSE) / VLOOKUP("transport|SO2|Work loss days", US_national_yearly!$D:$AM, 10, FALSE), 1)</f>
        <v>2.0717506399884619E-2</v>
      </c>
      <c r="G15" s="7">
        <f>$B15 * IFERROR(VLOOKUP("transport|SO2|Work loss days", US_national_yearly!$D:$AM, 15, FALSE) / VLOOKUP("transport|SO2|Work loss days", US_national_yearly!$D:$AM, 10, FALSE), 1)</f>
        <v>2.0804086732305868E-2</v>
      </c>
      <c r="H15" s="7">
        <f>$B15 * IFERROR(VLOOKUP("transport|SO2|Work loss days", US_national_yearly!$D:$AM, 16, FALSE) / VLOOKUP("transport|SO2|Work loss days", US_national_yearly!$D:$AM, 10, FALSE), 1)</f>
        <v>2.0890667064727114E-2</v>
      </c>
      <c r="I15" s="7">
        <f>$B15 * IFERROR(VLOOKUP("transport|SO2|Work loss days", US_national_yearly!$D:$AM, 17, FALSE) / VLOOKUP("transport|SO2|Work loss days", US_national_yearly!$D:$AM, 10, FALSE), 1)</f>
        <v>2.1017322468488281E-2</v>
      </c>
      <c r="J15" s="7">
        <f>$B15 * IFERROR(VLOOKUP("transport|SO2|Work loss days", US_national_yearly!$D:$AM, 18, FALSE) / VLOOKUP("transport|SO2|Work loss days", US_national_yearly!$D:$AM, 10, FALSE), 1)</f>
        <v>2.1143977872249441E-2</v>
      </c>
      <c r="K15" s="7">
        <f>$B15 * IFERROR(VLOOKUP("transport|SO2|Work loss days", US_national_yearly!$D:$AM, 19, FALSE) / VLOOKUP("transport|SO2|Work loss days", US_national_yearly!$D:$AM, 10, FALSE), 1)</f>
        <v>2.1270633276010604E-2</v>
      </c>
      <c r="L15" s="7">
        <f>$B15 * IFERROR(VLOOKUP("transport|SO2|Work loss days", US_national_yearly!$D:$AM, 20, FALSE) / VLOOKUP("transport|SO2|Work loss days", US_national_yearly!$D:$AM, 10, FALSE), 1)</f>
        <v>2.1397288679771767E-2</v>
      </c>
      <c r="M15" s="7">
        <f>$B15 * IFERROR(VLOOKUP("transport|SO2|Work loss days", US_national_yearly!$D:$AM, 21, FALSE) / VLOOKUP("transport|SO2|Work loss days", US_national_yearly!$D:$AM, 10, FALSE), 1)</f>
        <v>2.152394408353293E-2</v>
      </c>
      <c r="N15" s="7">
        <f>$B15 * IFERROR(VLOOKUP("transport|SO2|Work loss days", US_national_yearly!$D:$AM, 22, FALSE) / VLOOKUP("transport|SO2|Work loss days", US_national_yearly!$D:$AM, 10, FALSE), 1)</f>
        <v>2.1682749435268028E-2</v>
      </c>
      <c r="O15" s="7">
        <f>$B15 * IFERROR(VLOOKUP("transport|SO2|Work loss days", US_national_yearly!$D:$AM, 23, FALSE) / VLOOKUP("transport|SO2|Work loss days", US_national_yearly!$D:$AM, 10, FALSE), 1)</f>
        <v>2.1841554787003122E-2</v>
      </c>
      <c r="P15" s="7">
        <f>$B15 * IFERROR(VLOOKUP("transport|SO2|Work loss days", US_national_yearly!$D:$AM, 24, FALSE) / VLOOKUP("transport|SO2|Work loss days", US_national_yearly!$D:$AM, 10, FALSE), 1)</f>
        <v>2.2000360138738208E-2</v>
      </c>
      <c r="Q15" s="7">
        <f>$B15 * IFERROR(VLOOKUP("transport|SO2|Work loss days", US_national_yearly!$D:$AM, 25, FALSE) / VLOOKUP("transport|SO2|Work loss days", US_national_yearly!$D:$AM, 10, FALSE), 1)</f>
        <v>2.2159165490473302E-2</v>
      </c>
      <c r="R15" s="7">
        <f>$B15 * IFERROR(VLOOKUP("transport|SO2|Work loss days", US_national_yearly!$D:$AM, 26, FALSE) / VLOOKUP("transport|SO2|Work loss days", US_national_yearly!$D:$AM, 10, FALSE), 1)</f>
        <v>2.2317970842208396E-2</v>
      </c>
      <c r="S15" s="7">
        <f>$B15 * IFERROR(VLOOKUP("transport|SO2|Work loss days", US_national_yearly!$D:$AM, 27, FALSE) / VLOOKUP("transport|SO2|Work loss days", US_national_yearly!$D:$AM, 10, FALSE), 1)</f>
        <v>2.2495435299197807E-2</v>
      </c>
      <c r="T15" s="7">
        <f>$B15 * IFERROR(VLOOKUP("transport|SO2|Work loss days", US_national_yearly!$D:$AM, 28, FALSE) / VLOOKUP("transport|SO2|Work loss days", US_national_yearly!$D:$AM, 10, FALSE), 1)</f>
        <v>2.267289975618722E-2</v>
      </c>
      <c r="U15" s="7">
        <f>$B15 * IFERROR(VLOOKUP("transport|SO2|Work loss days", US_national_yearly!$D:$AM, 29, FALSE) / VLOOKUP("transport|SO2|Work loss days", US_national_yearly!$D:$AM, 10, FALSE), 1)</f>
        <v>2.2850364213176631E-2</v>
      </c>
      <c r="V15" s="7">
        <f>$B15 * IFERROR(VLOOKUP("transport|SO2|Work loss days", US_national_yearly!$D:$AM, 30, FALSE) / VLOOKUP("transport|SO2|Work loss days", US_national_yearly!$D:$AM, 10, FALSE), 1)</f>
        <v>2.3027828670166041E-2</v>
      </c>
      <c r="W15" s="7">
        <f>$B15 * IFERROR(VLOOKUP("transport|SO2|Work loss days", US_national_yearly!$D:$AM, 31, FALSE) / VLOOKUP("transport|SO2|Work loss days", US_national_yearly!$D:$AM, 10, FALSE), 1)</f>
        <v>2.3205293127155455E-2</v>
      </c>
      <c r="X15" s="7">
        <f>$B15 * IFERROR(VLOOKUP("transport|SO2|Work loss days", US_national_yearly!$D:$AM, 32, FALSE) / VLOOKUP("transport|SO2|Work loss days", US_national_yearly!$D:$AM, 10, FALSE), 1)</f>
        <v>2.3364631748431841E-2</v>
      </c>
      <c r="Y15" s="7">
        <f>$B15 * IFERROR(VLOOKUP("transport|SO2|Work loss days", US_national_yearly!$D:$AM, 33, FALSE) / VLOOKUP("transport|SO2|Work loss days", US_national_yearly!$D:$AM, 10, FALSE), 1)</f>
        <v>2.3523970369708234E-2</v>
      </c>
      <c r="Z15" s="7">
        <f>$B15 * IFERROR(VLOOKUP("transport|SO2|Work loss days", US_national_yearly!$D:$AM, 34, FALSE) / VLOOKUP("transport|SO2|Work loss days", US_national_yearly!$D:$AM, 10, FALSE), 1)</f>
        <v>2.3683308990984628E-2</v>
      </c>
      <c r="AA15" s="7">
        <f>$B15 * IFERROR(VLOOKUP("transport|SO2|Work loss days", US_national_yearly!$D:$AM, 35, FALSE) / VLOOKUP("transport|SO2|Work loss days", US_national_yearly!$D:$AM, 10, FALSE), 1)</f>
        <v>2.3842647612261021E-2</v>
      </c>
      <c r="AB15" s="7">
        <f>$B15 * IFERROR(VLOOKUP("transport|SO2|Work loss days", US_national_yearly!$D:$AM, 36, FALSE) / VLOOKUP("transport|SO2|Work loss days", US_national_yearly!$D:$AM, 10, FALSE), 1)</f>
        <v>2.4001986233537415E-2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3.2067373238887181E-5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3.3037213405128356E-5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3.4007053571369537E-5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3.4976893737610712E-5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3.59467339038519E-5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3.6875748565725189E-5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3.7804763227598491E-5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3.8600747497195275E-5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3.9396731766792059E-5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4.0192716036388843E-5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4.0988700305985627E-5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4.1784684575582404E-5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4.2319404687676523E-5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4.2854124799770643E-5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4.3388844911864762E-5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4.3923565023958874E-5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4.4458285136053E-5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4.473950984290696E-5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4.5020734549760928E-5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4.5301959256614895E-5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4.5583183963468862E-5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4.5864408670322822E-5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4.6053204112612433E-5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4.6241999554902037E-5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4.6430794997191648E-5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4.6619590439481258E-5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4.6808385881770862E-5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2.4161547063646153E-4</v>
      </c>
      <c r="C2" s="7">
        <f>$B2 * IFERROR(VLOOKUP("electricity|PM25|Premature mortality", US_national_yearly!$D:$AM, 11, FALSE) / VLOOKUP("electricity|PM25|Premature mortality", US_national_yearly!$D:$AM, 10, FALSE), 1)</f>
        <v>2.4460817729688957E-4</v>
      </c>
      <c r="D2" s="7">
        <f>$B2 * IFERROR(VLOOKUP("electricity|PM25|Premature mortality", US_national_yearly!$D:$AM, 12, FALSE) / VLOOKUP("electricity|PM25|Premature mortality", US_national_yearly!$D:$AM, 10, FALSE), 1)</f>
        <v>2.4760088395731761E-4</v>
      </c>
      <c r="E2" s="7">
        <f>$B2 * IFERROR(VLOOKUP("electricity|PM25|Premature mortality", US_national_yearly!$D:$AM, 13, FALSE) / VLOOKUP("electricity|PM25|Premature mortality", US_national_yearly!$D:$AM, 10, FALSE), 1)</f>
        <v>2.5059359061774565E-4</v>
      </c>
      <c r="F2" s="7">
        <f>$B2 * IFERROR(VLOOKUP("electricity|PM25|Premature mortality", US_national_yearly!$D:$AM, 14, FALSE) / VLOOKUP("electricity|PM25|Premature mortality", US_national_yearly!$D:$AM, 10, FALSE), 1)</f>
        <v>2.5358629727817374E-4</v>
      </c>
      <c r="G2" s="7">
        <f>$B2 * IFERROR(VLOOKUP("electricity|PM25|Premature mortality", US_national_yearly!$D:$AM, 15, FALSE) / VLOOKUP("electricity|PM25|Premature mortality", US_national_yearly!$D:$AM, 10, FALSE), 1)</f>
        <v>2.5946413231640755E-4</v>
      </c>
      <c r="H2" s="7">
        <f>$B2 * IFERROR(VLOOKUP("electricity|PM25|Premature mortality", US_national_yearly!$D:$AM, 16, FALSE) / VLOOKUP("electricity|PM25|Premature mortality", US_national_yearly!$D:$AM, 10, FALSE), 1)</f>
        <v>2.6534196735464142E-4</v>
      </c>
      <c r="I2" s="7">
        <f>$B2 * IFERROR(VLOOKUP("electricity|PM25|Premature mortality", US_national_yearly!$D:$AM, 17, FALSE) / VLOOKUP("electricity|PM25|Premature mortality", US_national_yearly!$D:$AM, 10, FALSE), 1)</f>
        <v>2.6929133464535256E-4</v>
      </c>
      <c r="J2" s="7">
        <f>$B2 * IFERROR(VLOOKUP("electricity|PM25|Premature mortality", US_national_yearly!$D:$AM, 18, FALSE) / VLOOKUP("electricity|PM25|Premature mortality", US_national_yearly!$D:$AM, 10, FALSE), 1)</f>
        <v>2.732407019360638E-4</v>
      </c>
      <c r="K2" s="7">
        <f>$B2 * IFERROR(VLOOKUP("electricity|PM25|Premature mortality", US_national_yearly!$D:$AM, 19, FALSE) / VLOOKUP("electricity|PM25|Premature mortality", US_national_yearly!$D:$AM, 10, FALSE), 1)</f>
        <v>2.77190069226775E-4</v>
      </c>
      <c r="L2" s="7">
        <f>$B2 * IFERROR(VLOOKUP("electricity|PM25|Premature mortality", US_national_yearly!$D:$AM, 20, FALSE) / VLOOKUP("electricity|PM25|Premature mortality", US_national_yearly!$D:$AM, 10, FALSE), 1)</f>
        <v>2.8113943651748619E-4</v>
      </c>
      <c r="M2" s="7">
        <f>$B2 * IFERROR(VLOOKUP("electricity|PM25|Premature mortality", US_national_yearly!$D:$AM, 21, FALSE) / VLOOKUP("electricity|PM25|Premature mortality", US_national_yearly!$D:$AM, 10, FALSE), 1)</f>
        <v>2.8508880380819738E-4</v>
      </c>
      <c r="N2" s="7">
        <f>$B2 * IFERROR(VLOOKUP("electricity|PM25|Premature mortality", US_national_yearly!$D:$AM, 22, FALSE) / VLOOKUP("electricity|PM25|Premature mortality", US_national_yearly!$D:$AM, 10, FALSE), 1)</f>
        <v>2.8823689667243865E-4</v>
      </c>
      <c r="O2" s="7">
        <f>$B2 * IFERROR(VLOOKUP("electricity|PM25|Premature mortality", US_national_yearly!$D:$AM, 23, FALSE) / VLOOKUP("electricity|PM25|Premature mortality", US_national_yearly!$D:$AM, 10, FALSE), 1)</f>
        <v>2.9138498953667981E-4</v>
      </c>
      <c r="P2" s="7">
        <f>$B2 * IFERROR(VLOOKUP("electricity|PM25|Premature mortality", US_national_yearly!$D:$AM, 24, FALSE) / VLOOKUP("electricity|PM25|Premature mortality", US_national_yearly!$D:$AM, 10, FALSE), 1)</f>
        <v>2.9453308240092108E-4</v>
      </c>
      <c r="Q2" s="7">
        <f>$B2 * IFERROR(VLOOKUP("electricity|PM25|Premature mortality", US_national_yearly!$D:$AM, 25, FALSE) / VLOOKUP("electricity|PM25|Premature mortality", US_national_yearly!$D:$AM, 10, FALSE), 1)</f>
        <v>2.976811752651623E-4</v>
      </c>
      <c r="R2" s="7">
        <f>$B2 * IFERROR(VLOOKUP("electricity|PM25|Premature mortality", US_national_yearly!$D:$AM, 26, FALSE) / VLOOKUP("electricity|PM25|Premature mortality", US_national_yearly!$D:$AM, 10, FALSE), 1)</f>
        <v>3.0082926812940357E-4</v>
      </c>
      <c r="S2" s="7">
        <f>$B2 * IFERROR(VLOOKUP("electricity|PM25|Premature mortality", US_national_yearly!$D:$AM, 27, FALSE) / VLOOKUP("electricity|PM25|Premature mortality", US_national_yearly!$D:$AM, 10, FALSE), 1)</f>
        <v>3.0263062373930735E-4</v>
      </c>
      <c r="T2" s="7">
        <f>$B2 * IFERROR(VLOOKUP("electricity|PM25|Premature mortality", US_national_yearly!$D:$AM, 28, FALSE) / VLOOKUP("electricity|PM25|Premature mortality", US_national_yearly!$D:$AM, 10, FALSE), 1)</f>
        <v>3.0443197934921102E-4</v>
      </c>
      <c r="U2" s="7">
        <f>$B2 * IFERROR(VLOOKUP("electricity|PM25|Premature mortality", US_national_yearly!$D:$AM, 29, FALSE) / VLOOKUP("electricity|PM25|Premature mortality", US_national_yearly!$D:$AM, 10, FALSE), 1)</f>
        <v>3.0623333495911485E-4</v>
      </c>
      <c r="V2" s="7">
        <f>$B2 * IFERROR(VLOOKUP("electricity|PM25|Premature mortality", US_national_yearly!$D:$AM, 30, FALSE) / VLOOKUP("electricity|PM25|Premature mortality", US_national_yearly!$D:$AM, 10, FALSE), 1)</f>
        <v>3.0803469056901853E-4</v>
      </c>
      <c r="W2" s="7">
        <f>$B2 * IFERROR(VLOOKUP("electricity|PM25|Premature mortality", US_national_yearly!$D:$AM, 31, FALSE) / VLOOKUP("electricity|PM25|Premature mortality", US_national_yearly!$D:$AM, 10, FALSE), 1)</f>
        <v>3.0983604617892231E-4</v>
      </c>
      <c r="X2" s="7">
        <f>$B2 * IFERROR(VLOOKUP("electricity|PM25|Premature mortality", US_national_yearly!$D:$AM, 32, FALSE) / VLOOKUP("electricity|PM25|Premature mortality", US_national_yearly!$D:$AM, 10, FALSE), 1)</f>
        <v>3.1033645112052183E-4</v>
      </c>
      <c r="Y2" s="7">
        <f>$B2 * IFERROR(VLOOKUP("electricity|PM25|Premature mortality", US_national_yearly!$D:$AM, 33, FALSE) / VLOOKUP("electricity|PM25|Premature mortality", US_national_yearly!$D:$AM, 10, FALSE), 1)</f>
        <v>3.1083685606212135E-4</v>
      </c>
      <c r="Z2" s="7">
        <f>$B2 * IFERROR(VLOOKUP("electricity|PM25|Premature mortality", US_national_yearly!$D:$AM, 34, FALSE) / VLOOKUP("electricity|PM25|Premature mortality", US_national_yearly!$D:$AM, 10, FALSE), 1)</f>
        <v>3.1133726100372082E-4</v>
      </c>
      <c r="AA2" s="7">
        <f>$B2 * IFERROR(VLOOKUP("electricity|PM25|Premature mortality", US_national_yearly!$D:$AM, 35, FALSE) / VLOOKUP("electricity|PM25|Premature mortality", US_national_yearly!$D:$AM, 10, FALSE), 1)</f>
        <v>3.118376659453204E-4</v>
      </c>
      <c r="AB2" s="7">
        <f>$B2 * IFERROR(VLOOKUP("electricity|PM25|Premature mortality", US_national_yearly!$D:$AM, 36, FALSE) / VLOOKUP("electricity|PM25|Premature mortality", US_national_yearly!$D:$AM, 10, FALSE), 1)</f>
        <v>3.1233807088691993E-4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5.7234928488662524E-7</v>
      </c>
      <c r="C3" s="7">
        <f>$B3 * IFERROR(VLOOKUP("electricity|PM25|Infant mortality", US_national_yearly!$D:$AM, 11, FALSE) / VLOOKUP("electricity|PM25|Infant mortality", US_national_yearly!$D:$AM, 10, FALSE), 1)</f>
        <v>5.673624070090936E-7</v>
      </c>
      <c r="D3" s="7">
        <f>$B3 * IFERROR(VLOOKUP("electricity|PM25|Infant mortality", US_national_yearly!$D:$AM, 12, FALSE) / VLOOKUP("electricity|PM25|Infant mortality", US_national_yearly!$D:$AM, 10, FALSE), 1)</f>
        <v>5.6237552913156208E-7</v>
      </c>
      <c r="E3" s="7">
        <f>$B3 * IFERROR(VLOOKUP("electricity|PM25|Infant mortality", US_national_yearly!$D:$AM, 13, FALSE) / VLOOKUP("electricity|PM25|Infant mortality", US_national_yearly!$D:$AM, 10, FALSE), 1)</f>
        <v>5.5738865125403044E-7</v>
      </c>
      <c r="F3" s="7">
        <f>$B3 * IFERROR(VLOOKUP("electricity|PM25|Infant mortality", US_national_yearly!$D:$AM, 14, FALSE) / VLOOKUP("electricity|PM25|Infant mortality", US_national_yearly!$D:$AM, 10, FALSE), 1)</f>
        <v>5.5240177337649881E-7</v>
      </c>
      <c r="G3" s="7">
        <f>$B3 * IFERROR(VLOOKUP("electricity|PM25|Infant mortality", US_national_yearly!$D:$AM, 15, FALSE) / VLOOKUP("electricity|PM25|Infant mortality", US_national_yearly!$D:$AM, 10, FALSE), 1)</f>
        <v>3.6633563861519594E-7</v>
      </c>
      <c r="H3" s="7">
        <f>$B3 * IFERROR(VLOOKUP("electricity|PM25|Infant mortality", US_national_yearly!$D:$AM, 16, FALSE) / VLOOKUP("electricity|PM25|Infant mortality", US_national_yearly!$D:$AM, 10, FALSE), 1)</f>
        <v>1.8026950385389308E-7</v>
      </c>
      <c r="I3" s="7">
        <f>$B3 * IFERROR(VLOOKUP("electricity|PM25|Infant mortality", US_national_yearly!$D:$AM, 17, FALSE) / VLOOKUP("electricity|PM25|Infant mortality", US_national_yearly!$D:$AM, 10, FALSE), 1)</f>
        <v>1.789967185528109E-7</v>
      </c>
      <c r="J3" s="7">
        <f>$B3 * IFERROR(VLOOKUP("electricity|PM25|Infant mortality", US_national_yearly!$D:$AM, 18, FALSE) / VLOOKUP("electricity|PM25|Infant mortality", US_national_yearly!$D:$AM, 10, FALSE), 1)</f>
        <v>1.7772393325172875E-7</v>
      </c>
      <c r="K3" s="7">
        <f>$B3 * IFERROR(VLOOKUP("electricity|PM25|Infant mortality", US_national_yearly!$D:$AM, 19, FALSE) / VLOOKUP("electricity|PM25|Infant mortality", US_national_yearly!$D:$AM, 10, FALSE), 1)</f>
        <v>1.7645114795064654E-7</v>
      </c>
      <c r="L3" s="7">
        <f>$B3 * IFERROR(VLOOKUP("electricity|PM25|Infant mortality", US_national_yearly!$D:$AM, 20, FALSE) / VLOOKUP("electricity|PM25|Infant mortality", US_national_yearly!$D:$AM, 10, FALSE), 1)</f>
        <v>1.7517836264956439E-7</v>
      </c>
      <c r="M3" s="7">
        <f>$B3 * IFERROR(VLOOKUP("electricity|PM25|Infant mortality", US_national_yearly!$D:$AM, 21, FALSE) / VLOOKUP("electricity|PM25|Infant mortality", US_national_yearly!$D:$AM, 10, FALSE), 1)</f>
        <v>1.7390557734848222E-7</v>
      </c>
      <c r="N3" s="7">
        <f>$B3 * IFERROR(VLOOKUP("electricity|PM25|Infant mortality", US_national_yearly!$D:$AM, 22, FALSE) / VLOOKUP("electricity|PM25|Infant mortality", US_national_yearly!$D:$AM, 10, FALSE), 1)</f>
        <v>1.73087007415117E-7</v>
      </c>
      <c r="O3" s="7">
        <f>$B3 * IFERROR(VLOOKUP("electricity|PM25|Infant mortality", US_national_yearly!$D:$AM, 23, FALSE) / VLOOKUP("electricity|PM25|Infant mortality", US_national_yearly!$D:$AM, 10, FALSE), 1)</f>
        <v>1.7226843748175178E-7</v>
      </c>
      <c r="P3" s="7">
        <f>$B3 * IFERROR(VLOOKUP("electricity|PM25|Infant mortality", US_national_yearly!$D:$AM, 24, FALSE) / VLOOKUP("electricity|PM25|Infant mortality", US_national_yearly!$D:$AM, 10, FALSE), 1)</f>
        <v>1.7144986754838653E-7</v>
      </c>
      <c r="Q3" s="7">
        <f>$B3 * IFERROR(VLOOKUP("electricity|PM25|Infant mortality", US_national_yearly!$D:$AM, 25, FALSE) / VLOOKUP("electricity|PM25|Infant mortality", US_national_yearly!$D:$AM, 10, FALSE), 1)</f>
        <v>1.7063129761502131E-7</v>
      </c>
      <c r="R3" s="7">
        <f>$B3 * IFERROR(VLOOKUP("electricity|PM25|Infant mortality", US_national_yearly!$D:$AM, 26, FALSE) / VLOOKUP("electricity|PM25|Infant mortality", US_national_yearly!$D:$AM, 10, FALSE), 1)</f>
        <v>1.6981272768165609E-7</v>
      </c>
      <c r="S3" s="7">
        <f>$B3 * IFERROR(VLOOKUP("electricity|PM25|Infant mortality", US_national_yearly!$D:$AM, 27, FALSE) / VLOOKUP("electricity|PM25|Infant mortality", US_national_yearly!$D:$AM, 10, FALSE), 1)</f>
        <v>1.6883206260929751E-7</v>
      </c>
      <c r="T3" s="7">
        <f>$B3 * IFERROR(VLOOKUP("electricity|PM25|Infant mortality", US_national_yearly!$D:$AM, 28, FALSE) / VLOOKUP("electricity|PM25|Infant mortality", US_national_yearly!$D:$AM, 10, FALSE), 1)</f>
        <v>1.6785139753693892E-7</v>
      </c>
      <c r="U3" s="7">
        <f>$B3 * IFERROR(VLOOKUP("electricity|PM25|Infant mortality", US_national_yearly!$D:$AM, 29, FALSE) / VLOOKUP("electricity|PM25|Infant mortality", US_national_yearly!$D:$AM, 10, FALSE), 1)</f>
        <v>1.6687073246458036E-7</v>
      </c>
      <c r="V3" s="7">
        <f>$B3 * IFERROR(VLOOKUP("electricity|PM25|Infant mortality", US_national_yearly!$D:$AM, 30, FALSE) / VLOOKUP("electricity|PM25|Infant mortality", US_national_yearly!$D:$AM, 10, FALSE), 1)</f>
        <v>1.658900673922218E-7</v>
      </c>
      <c r="W3" s="7">
        <f>$B3 * IFERROR(VLOOKUP("electricity|PM25|Infant mortality", US_national_yearly!$D:$AM, 31, FALSE) / VLOOKUP("electricity|PM25|Infant mortality", US_national_yearly!$D:$AM, 10, FALSE), 1)</f>
        <v>1.6490940231986321E-7</v>
      </c>
      <c r="X3" s="7">
        <f>$B3 * IFERROR(VLOOKUP("electricity|PM25|Infant mortality", US_national_yearly!$D:$AM, 32, FALSE) / VLOOKUP("electricity|PM25|Infant mortality", US_national_yearly!$D:$AM, 10, FALSE), 1)</f>
        <v>1.6389600740921154E-7</v>
      </c>
      <c r="Y3" s="7">
        <f>$B3 * IFERROR(VLOOKUP("electricity|PM25|Infant mortality", US_national_yearly!$D:$AM, 33, FALSE) / VLOOKUP("electricity|PM25|Infant mortality", US_national_yearly!$D:$AM, 10, FALSE), 1)</f>
        <v>1.6288261249855985E-7</v>
      </c>
      <c r="Z3" s="7">
        <f>$B3 * IFERROR(VLOOKUP("electricity|PM25|Infant mortality", US_national_yearly!$D:$AM, 34, FALSE) / VLOOKUP("electricity|PM25|Infant mortality", US_national_yearly!$D:$AM, 10, FALSE), 1)</f>
        <v>1.6186921758790818E-7</v>
      </c>
      <c r="AA3" s="7">
        <f>$B3 * IFERROR(VLOOKUP("electricity|PM25|Infant mortality", US_national_yearly!$D:$AM, 35, FALSE) / VLOOKUP("electricity|PM25|Infant mortality", US_national_yearly!$D:$AM, 10, FALSE), 1)</f>
        <v>1.6085582267725648E-7</v>
      </c>
      <c r="AB3" s="7">
        <f>$B3 * IFERROR(VLOOKUP("electricity|PM25|Infant mortality", US_national_yearly!$D:$AM, 36, FALSE) / VLOOKUP("electricity|PM25|Infant mortality", US_national_yearly!$D:$AM, 10, FALSE), 1)</f>
        <v>1.5984242776660481E-7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5.497562637451249E-4</v>
      </c>
      <c r="C6" s="7">
        <f>$B6 * IFERROR(VLOOKUP("electricity|PM25|Asthma symptoms cough", US_national_yearly!$D:$AM, 11, FALSE) / VLOOKUP("electricity|PM25|Asthma symptoms cough", US_national_yearly!$D:$AM, 10, FALSE), 1)</f>
        <v>5.497562637451249E-4</v>
      </c>
      <c r="D6" s="7">
        <f>$B6 * IFERROR(VLOOKUP("electricity|PM25|Asthma symptoms cough", US_national_yearly!$D:$AM, 12, FALSE) / VLOOKUP("electricity|PM25|Asthma symptoms cough", US_national_yearly!$D:$AM, 10, FALSE), 1)</f>
        <v>5.497562637451249E-4</v>
      </c>
      <c r="E6" s="7">
        <f>$B6 * IFERROR(VLOOKUP("electricity|PM25|Asthma symptoms cough", US_national_yearly!$D:$AM, 13, FALSE) / VLOOKUP("electricity|PM25|Asthma symptoms cough", US_national_yearly!$D:$AM, 10, FALSE), 1)</f>
        <v>5.497562637451249E-4</v>
      </c>
      <c r="F6" s="7">
        <f>$B6 * IFERROR(VLOOKUP("electricity|PM25|Asthma symptoms cough", US_national_yearly!$D:$AM, 14, FALSE) / VLOOKUP("electricity|PM25|Asthma symptoms cough", US_national_yearly!$D:$AM, 10, FALSE), 1)</f>
        <v>5.497562637451249E-4</v>
      </c>
      <c r="G6" s="7">
        <f>$B6 * IFERROR(VLOOKUP("electricity|PM25|Asthma symptoms cough", US_national_yearly!$D:$AM, 15, FALSE) / VLOOKUP("electricity|PM25|Asthma symptoms cough", US_national_yearly!$D:$AM, 10, FALSE), 1)</f>
        <v>5.497562637451249E-4</v>
      </c>
      <c r="H6" s="7">
        <f>$B6 * IFERROR(VLOOKUP("electricity|PM25|Asthma symptoms cough", US_national_yearly!$D:$AM, 16, FALSE) / VLOOKUP("electricity|PM25|Asthma symptoms cough", US_national_yearly!$D:$AM, 10, FALSE), 1)</f>
        <v>5.497562637451249E-4</v>
      </c>
      <c r="I6" s="7">
        <f>$B6 * IFERROR(VLOOKUP("electricity|PM25|Asthma symptoms cough", US_national_yearly!$D:$AM, 17, FALSE) / VLOOKUP("electricity|PM25|Asthma symptoms cough", US_national_yearly!$D:$AM, 10, FALSE), 1)</f>
        <v>5.497562637451249E-4</v>
      </c>
      <c r="J6" s="7">
        <f>$B6 * IFERROR(VLOOKUP("electricity|PM25|Asthma symptoms cough", US_national_yearly!$D:$AM, 18, FALSE) / VLOOKUP("electricity|PM25|Asthma symptoms cough", US_national_yearly!$D:$AM, 10, FALSE), 1)</f>
        <v>5.497562637451249E-4</v>
      </c>
      <c r="K6" s="7">
        <f>$B6 * IFERROR(VLOOKUP("electricity|PM25|Asthma symptoms cough", US_national_yearly!$D:$AM, 19, FALSE) / VLOOKUP("electricity|PM25|Asthma symptoms cough", US_national_yearly!$D:$AM, 10, FALSE), 1)</f>
        <v>5.497562637451249E-4</v>
      </c>
      <c r="L6" s="7">
        <f>$B6 * IFERROR(VLOOKUP("electricity|PM25|Asthma symptoms cough", US_national_yearly!$D:$AM, 20, FALSE) / VLOOKUP("electricity|PM25|Asthma symptoms cough", US_national_yearly!$D:$AM, 10, FALSE), 1)</f>
        <v>5.497562637451249E-4</v>
      </c>
      <c r="M6" s="7">
        <f>$B6 * IFERROR(VLOOKUP("electricity|PM25|Asthma symptoms cough", US_national_yearly!$D:$AM, 21, FALSE) / VLOOKUP("electricity|PM25|Asthma symptoms cough", US_national_yearly!$D:$AM, 10, FALSE), 1)</f>
        <v>5.497562637451249E-4</v>
      </c>
      <c r="N6" s="7">
        <f>$B6 * IFERROR(VLOOKUP("electricity|PM25|Asthma symptoms cough", US_national_yearly!$D:$AM, 22, FALSE) / VLOOKUP("electricity|PM25|Asthma symptoms cough", US_national_yearly!$D:$AM, 10, FALSE), 1)</f>
        <v>5.497562637451249E-4</v>
      </c>
      <c r="O6" s="7">
        <f>$B6 * IFERROR(VLOOKUP("electricity|PM25|Asthma symptoms cough", US_national_yearly!$D:$AM, 23, FALSE) / VLOOKUP("electricity|PM25|Asthma symptoms cough", US_national_yearly!$D:$AM, 10, FALSE), 1)</f>
        <v>5.497562637451249E-4</v>
      </c>
      <c r="P6" s="7">
        <f>$B6 * IFERROR(VLOOKUP("electricity|PM25|Asthma symptoms cough", US_national_yearly!$D:$AM, 24, FALSE) / VLOOKUP("electricity|PM25|Asthma symptoms cough", US_national_yearly!$D:$AM, 10, FALSE), 1)</f>
        <v>5.497562637451249E-4</v>
      </c>
      <c r="Q6" s="7">
        <f>$B6 * IFERROR(VLOOKUP("electricity|PM25|Asthma symptoms cough", US_national_yearly!$D:$AM, 25, FALSE) / VLOOKUP("electricity|PM25|Asthma symptoms cough", US_national_yearly!$D:$AM, 10, FALSE), 1)</f>
        <v>5.497562637451249E-4</v>
      </c>
      <c r="R6" s="7">
        <f>$B6 * IFERROR(VLOOKUP("electricity|PM25|Asthma symptoms cough", US_national_yearly!$D:$AM, 26, FALSE) / VLOOKUP("electricity|PM25|Asthma symptoms cough", US_national_yearly!$D:$AM, 10, FALSE), 1)</f>
        <v>5.497562637451249E-4</v>
      </c>
      <c r="S6" s="7">
        <f>$B6 * IFERROR(VLOOKUP("electricity|PM25|Asthma symptoms cough", US_national_yearly!$D:$AM, 27, FALSE) / VLOOKUP("electricity|PM25|Asthma symptoms cough", US_national_yearly!$D:$AM, 10, FALSE), 1)</f>
        <v>5.497562637451249E-4</v>
      </c>
      <c r="T6" s="7">
        <f>$B6 * IFERROR(VLOOKUP("electricity|PM25|Asthma symptoms cough", US_national_yearly!$D:$AM, 28, FALSE) / VLOOKUP("electricity|PM25|Asthma symptoms cough", US_national_yearly!$D:$AM, 10, FALSE), 1)</f>
        <v>5.497562637451249E-4</v>
      </c>
      <c r="U6" s="7">
        <f>$B6 * IFERROR(VLOOKUP("electricity|PM25|Asthma symptoms cough", US_national_yearly!$D:$AM, 29, FALSE) / VLOOKUP("electricity|PM25|Asthma symptoms cough", US_national_yearly!$D:$AM, 10, FALSE), 1)</f>
        <v>5.497562637451249E-4</v>
      </c>
      <c r="V6" s="7">
        <f>$B6 * IFERROR(VLOOKUP("electricity|PM25|Asthma symptoms cough", US_national_yearly!$D:$AM, 30, FALSE) / VLOOKUP("electricity|PM25|Asthma symptoms cough", US_national_yearly!$D:$AM, 10, FALSE), 1)</f>
        <v>5.497562637451249E-4</v>
      </c>
      <c r="W6" s="7">
        <f>$B6 * IFERROR(VLOOKUP("electricity|PM25|Asthma symptoms cough", US_national_yearly!$D:$AM, 31, FALSE) / VLOOKUP("electricity|PM25|Asthma symptoms cough", US_national_yearly!$D:$AM, 10, FALSE), 1)</f>
        <v>5.497562637451249E-4</v>
      </c>
      <c r="X6" s="7">
        <f>$B6 * IFERROR(VLOOKUP("electricity|PM25|Asthma symptoms cough", US_national_yearly!$D:$AM, 32, FALSE) / VLOOKUP("electricity|PM25|Asthma symptoms cough", US_national_yearly!$D:$AM, 10, FALSE), 1)</f>
        <v>5.497562637451249E-4</v>
      </c>
      <c r="Y6" s="7">
        <f>$B6 * IFERROR(VLOOKUP("electricity|PM25|Asthma symptoms cough", US_national_yearly!$D:$AM, 33, FALSE) / VLOOKUP("electricity|PM25|Asthma symptoms cough", US_national_yearly!$D:$AM, 10, FALSE), 1)</f>
        <v>5.497562637451249E-4</v>
      </c>
      <c r="Z6" s="7">
        <f>$B6 * IFERROR(VLOOKUP("electricity|PM25|Asthma symptoms cough", US_national_yearly!$D:$AM, 34, FALSE) / VLOOKUP("electricity|PM25|Asthma symptoms cough", US_national_yearly!$D:$AM, 10, FALSE), 1)</f>
        <v>5.497562637451249E-4</v>
      </c>
      <c r="AA6" s="7">
        <f>$B6 * IFERROR(VLOOKUP("electricity|PM25|Asthma symptoms cough", US_national_yearly!$D:$AM, 35, FALSE) / VLOOKUP("electricity|PM25|Asthma symptoms cough", US_national_yearly!$D:$AM, 10, FALSE), 1)</f>
        <v>5.497562637451249E-4</v>
      </c>
      <c r="AB6" s="7">
        <f>$B6 * IFERROR(VLOOKUP("electricity|PM25|Asthma symptoms cough", US_national_yearly!$D:$AM, 36, FALSE) / VLOOKUP("electricity|PM25|Asthma symptoms cough", US_national_yearly!$D:$AM, 10, FALSE), 1)</f>
        <v>5.497562637451249E-4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7.403268767088749E-4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7.403268767088749E-4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7.403268767088749E-4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7.403268767088749E-4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7.403268767088749E-4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7.403268767088749E-4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7.403268767088749E-4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7.403268767088749E-4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7.403268767088749E-4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7.403268767088749E-4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7.403268767088749E-4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7.403268767088749E-4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7.403268767088749E-4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7.403268767088749E-4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7.403268767088749E-4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7.403268767088749E-4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7.403268767088749E-4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7.403268767088749E-4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7.403268767088749E-4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7.403268767088749E-4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7.403268767088749E-4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7.403268767088749E-4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7.403268767088749E-4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7.403268767088749E-4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7.403268767088749E-4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7.403268767088749E-4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7.403268767088749E-4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1.1310929590678371E-3</v>
      </c>
      <c r="C8" s="7">
        <f>$B8 * IFERROR(VLOOKUP("electricity|PM25|Asthma symptoms wheeze", US_national_yearly!$D:$AM, 11, FALSE) / VLOOKUP("electricity|PM25|Asthma symptoms wheeze", US_national_yearly!$D:$AM, 10, FALSE), 1)</f>
        <v>1.1310929590678371E-3</v>
      </c>
      <c r="D8" s="7">
        <f>$B8 * IFERROR(VLOOKUP("electricity|PM25|Asthma symptoms wheeze", US_national_yearly!$D:$AM, 12, FALSE) / VLOOKUP("electricity|PM25|Asthma symptoms wheeze", US_national_yearly!$D:$AM, 10, FALSE), 1)</f>
        <v>1.1310929590678371E-3</v>
      </c>
      <c r="E8" s="7">
        <f>$B8 * IFERROR(VLOOKUP("electricity|PM25|Asthma symptoms wheeze", US_national_yearly!$D:$AM, 13, FALSE) / VLOOKUP("electricity|PM25|Asthma symptoms wheeze", US_national_yearly!$D:$AM, 10, FALSE), 1)</f>
        <v>1.1310929590678371E-3</v>
      </c>
      <c r="F8" s="7">
        <f>$B8 * IFERROR(VLOOKUP("electricity|PM25|Asthma symptoms wheeze", US_national_yearly!$D:$AM, 14, FALSE) / VLOOKUP("electricity|PM25|Asthma symptoms wheeze", US_national_yearly!$D:$AM, 10, FALSE), 1)</f>
        <v>1.1310929590678371E-3</v>
      </c>
      <c r="G8" s="7">
        <f>$B8 * IFERROR(VLOOKUP("electricity|PM25|Asthma symptoms wheeze", US_national_yearly!$D:$AM, 15, FALSE) / VLOOKUP("electricity|PM25|Asthma symptoms wheeze", US_national_yearly!$D:$AM, 10, FALSE), 1)</f>
        <v>1.1310929590678371E-3</v>
      </c>
      <c r="H8" s="7">
        <f>$B8 * IFERROR(VLOOKUP("electricity|PM25|Asthma symptoms wheeze", US_national_yearly!$D:$AM, 16, FALSE) / VLOOKUP("electricity|PM25|Asthma symptoms wheeze", US_national_yearly!$D:$AM, 10, FALSE), 1)</f>
        <v>1.1310929590678371E-3</v>
      </c>
      <c r="I8" s="7">
        <f>$B8 * IFERROR(VLOOKUP("electricity|PM25|Asthma symptoms wheeze", US_national_yearly!$D:$AM, 17, FALSE) / VLOOKUP("electricity|PM25|Asthma symptoms wheeze", US_national_yearly!$D:$AM, 10, FALSE), 1)</f>
        <v>1.1310929590678371E-3</v>
      </c>
      <c r="J8" s="7">
        <f>$B8 * IFERROR(VLOOKUP("electricity|PM25|Asthma symptoms wheeze", US_national_yearly!$D:$AM, 18, FALSE) / VLOOKUP("electricity|PM25|Asthma symptoms wheeze", US_national_yearly!$D:$AM, 10, FALSE), 1)</f>
        <v>1.1310929590678371E-3</v>
      </c>
      <c r="K8" s="7">
        <f>$B8 * IFERROR(VLOOKUP("electricity|PM25|Asthma symptoms wheeze", US_national_yearly!$D:$AM, 19, FALSE) / VLOOKUP("electricity|PM25|Asthma symptoms wheeze", US_national_yearly!$D:$AM, 10, FALSE), 1)</f>
        <v>1.1310929590678371E-3</v>
      </c>
      <c r="L8" s="7">
        <f>$B8 * IFERROR(VLOOKUP("electricity|PM25|Asthma symptoms wheeze", US_national_yearly!$D:$AM, 20, FALSE) / VLOOKUP("electricity|PM25|Asthma symptoms wheeze", US_national_yearly!$D:$AM, 10, FALSE), 1)</f>
        <v>1.1310929590678371E-3</v>
      </c>
      <c r="M8" s="7">
        <f>$B8 * IFERROR(VLOOKUP("electricity|PM25|Asthma symptoms wheeze", US_national_yearly!$D:$AM, 21, FALSE) / VLOOKUP("electricity|PM25|Asthma symptoms wheeze", US_national_yearly!$D:$AM, 10, FALSE), 1)</f>
        <v>1.1310929590678371E-3</v>
      </c>
      <c r="N8" s="7">
        <f>$B8 * IFERROR(VLOOKUP("electricity|PM25|Asthma symptoms wheeze", US_national_yearly!$D:$AM, 22, FALSE) / VLOOKUP("electricity|PM25|Asthma symptoms wheeze", US_national_yearly!$D:$AM, 10, FALSE), 1)</f>
        <v>1.1310929590678371E-3</v>
      </c>
      <c r="O8" s="7">
        <f>$B8 * IFERROR(VLOOKUP("electricity|PM25|Asthma symptoms wheeze", US_national_yearly!$D:$AM, 23, FALSE) / VLOOKUP("electricity|PM25|Asthma symptoms wheeze", US_national_yearly!$D:$AM, 10, FALSE), 1)</f>
        <v>1.1310929590678371E-3</v>
      </c>
      <c r="P8" s="7">
        <f>$B8 * IFERROR(VLOOKUP("electricity|PM25|Asthma symptoms wheeze", US_national_yearly!$D:$AM, 24, FALSE) / VLOOKUP("electricity|PM25|Asthma symptoms wheeze", US_national_yearly!$D:$AM, 10, FALSE), 1)</f>
        <v>1.1310929590678371E-3</v>
      </c>
      <c r="Q8" s="7">
        <f>$B8 * IFERROR(VLOOKUP("electricity|PM25|Asthma symptoms wheeze", US_national_yearly!$D:$AM, 25, FALSE) / VLOOKUP("electricity|PM25|Asthma symptoms wheeze", US_national_yearly!$D:$AM, 10, FALSE), 1)</f>
        <v>1.1310929590678371E-3</v>
      </c>
      <c r="R8" s="7">
        <f>$B8 * IFERROR(VLOOKUP("electricity|PM25|Asthma symptoms wheeze", US_national_yearly!$D:$AM, 26, FALSE) / VLOOKUP("electricity|PM25|Asthma symptoms wheeze", US_national_yearly!$D:$AM, 10, FALSE), 1)</f>
        <v>1.1310929590678371E-3</v>
      </c>
      <c r="S8" s="7">
        <f>$B8 * IFERROR(VLOOKUP("electricity|PM25|Asthma symptoms wheeze", US_national_yearly!$D:$AM, 27, FALSE) / VLOOKUP("electricity|PM25|Asthma symptoms wheeze", US_national_yearly!$D:$AM, 10, FALSE), 1)</f>
        <v>1.1310929590678371E-3</v>
      </c>
      <c r="T8" s="7">
        <f>$B8 * IFERROR(VLOOKUP("electricity|PM25|Asthma symptoms wheeze", US_national_yearly!$D:$AM, 28, FALSE) / VLOOKUP("electricity|PM25|Asthma symptoms wheeze", US_national_yearly!$D:$AM, 10, FALSE), 1)</f>
        <v>1.1310929590678371E-3</v>
      </c>
      <c r="U8" s="7">
        <f>$B8 * IFERROR(VLOOKUP("electricity|PM25|Asthma symptoms wheeze", US_national_yearly!$D:$AM, 29, FALSE) / VLOOKUP("electricity|PM25|Asthma symptoms wheeze", US_national_yearly!$D:$AM, 10, FALSE), 1)</f>
        <v>1.1310929590678371E-3</v>
      </c>
      <c r="V8" s="7">
        <f>$B8 * IFERROR(VLOOKUP("electricity|PM25|Asthma symptoms wheeze", US_national_yearly!$D:$AM, 30, FALSE) / VLOOKUP("electricity|PM25|Asthma symptoms wheeze", US_national_yearly!$D:$AM, 10, FALSE), 1)</f>
        <v>1.1310929590678371E-3</v>
      </c>
      <c r="W8" s="7">
        <f>$B8 * IFERROR(VLOOKUP("electricity|PM25|Asthma symptoms wheeze", US_national_yearly!$D:$AM, 31, FALSE) / VLOOKUP("electricity|PM25|Asthma symptoms wheeze", US_national_yearly!$D:$AM, 10, FALSE), 1)</f>
        <v>1.1310929590678371E-3</v>
      </c>
      <c r="X8" s="7">
        <f>$B8 * IFERROR(VLOOKUP("electricity|PM25|Asthma symptoms wheeze", US_national_yearly!$D:$AM, 32, FALSE) / VLOOKUP("electricity|PM25|Asthma symptoms wheeze", US_national_yearly!$D:$AM, 10, FALSE), 1)</f>
        <v>1.1310929590678371E-3</v>
      </c>
      <c r="Y8" s="7">
        <f>$B8 * IFERROR(VLOOKUP("electricity|PM25|Asthma symptoms wheeze", US_national_yearly!$D:$AM, 33, FALSE) / VLOOKUP("electricity|PM25|Asthma symptoms wheeze", US_national_yearly!$D:$AM, 10, FALSE), 1)</f>
        <v>1.1310929590678371E-3</v>
      </c>
      <c r="Z8" s="7">
        <f>$B8 * IFERROR(VLOOKUP("electricity|PM25|Asthma symptoms wheeze", US_national_yearly!$D:$AM, 34, FALSE) / VLOOKUP("electricity|PM25|Asthma symptoms wheeze", US_national_yearly!$D:$AM, 10, FALSE), 1)</f>
        <v>1.1310929590678371E-3</v>
      </c>
      <c r="AA8" s="7">
        <f>$B8 * IFERROR(VLOOKUP("electricity|PM25|Asthma symptoms wheeze", US_national_yearly!$D:$AM, 35, FALSE) / VLOOKUP("electricity|PM25|Asthma symptoms wheeze", US_national_yearly!$D:$AM, 10, FALSE), 1)</f>
        <v>1.1310929590678371E-3</v>
      </c>
      <c r="AB8" s="7">
        <f>$B8 * IFERROR(VLOOKUP("electricity|PM25|Asthma symptoms wheeze", US_national_yearly!$D:$AM, 36, FALSE) / VLOOKUP("electricity|PM25|Asthma symptoms wheeze", US_national_yearly!$D:$AM, 10, FALSE), 1)</f>
        <v>1.1310929590678371E-3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1.0052181914041993E-5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1.0107427482073392E-5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1.0162673050104789E-5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1.021791861813619E-5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1.0273164186167586E-5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1.0332386077121396E-5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1.0391607968075207E-5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1.0444516677597969E-5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1.0497425387120729E-5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1.0550334096643491E-5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1.0603242806166251E-5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1.0656151515689012E-5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1.0691840319014933E-5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1.0727529122340854E-5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1.0763217925666775E-5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1.0798906728992696E-5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1.0834595532318617E-5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1.0867852505873394E-5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1.0901109479428167E-5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1.0934366452982942E-5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1.0967623426537718E-5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1.1000880400092491E-5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1.1033765213629751E-5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1.106665002716701E-5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1.1099534840704267E-5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1.1132419654241525E-5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1.1165304467778786E-5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1.4839382486752502E-5</v>
      </c>
      <c r="C13" s="7">
        <f>$B13 * IFERROR(VLOOKUP("electricity|PM25|Non-fatal heart attacks", US_national_yearly!$D:$AM, 11, FALSE) / VLOOKUP("electricity|PM25|Non-fatal heart attacks", US_national_yearly!$D:$AM, 10, FALSE), 1)</f>
        <v>1.5269202556436243E-5</v>
      </c>
      <c r="D13" s="7">
        <f>$B13 * IFERROR(VLOOKUP("electricity|PM25|Non-fatal heart attacks", US_national_yearly!$D:$AM, 12, FALSE) / VLOOKUP("electricity|PM25|Non-fatal heart attacks", US_national_yearly!$D:$AM, 10, FALSE), 1)</f>
        <v>1.5699022626119985E-5</v>
      </c>
      <c r="E13" s="7">
        <f>$B13 * IFERROR(VLOOKUP("electricity|PM25|Non-fatal heart attacks", US_national_yearly!$D:$AM, 13, FALSE) / VLOOKUP("electricity|PM25|Non-fatal heart attacks", US_national_yearly!$D:$AM, 10, FALSE), 1)</f>
        <v>1.6128842695803724E-5</v>
      </c>
      <c r="F13" s="7">
        <f>$B13 * IFERROR(VLOOKUP("electricity|PM25|Non-fatal heart attacks", US_national_yearly!$D:$AM, 14, FALSE) / VLOOKUP("electricity|PM25|Non-fatal heart attacks", US_national_yearly!$D:$AM, 10, FALSE), 1)</f>
        <v>1.6558662765487466E-5</v>
      </c>
      <c r="G13" s="7">
        <f>$B13 * IFERROR(VLOOKUP("electricity|PM25|Non-fatal heart attacks", US_national_yearly!$D:$AM, 15, FALSE) / VLOOKUP("electricity|PM25|Non-fatal heart attacks", US_national_yearly!$D:$AM, 10, FALSE), 1)</f>
        <v>1.6966633789774829E-5</v>
      </c>
      <c r="H13" s="7">
        <f>$B13 * IFERROR(VLOOKUP("electricity|PM25|Non-fatal heart attacks", US_national_yearly!$D:$AM, 16, FALSE) / VLOOKUP("electricity|PM25|Non-fatal heart attacks", US_national_yearly!$D:$AM, 10, FALSE), 1)</f>
        <v>1.7374604814062192E-5</v>
      </c>
      <c r="I13" s="7">
        <f>$B13 * IFERROR(VLOOKUP("electricity|PM25|Non-fatal heart attacks", US_national_yearly!$D:$AM, 17, FALSE) / VLOOKUP("electricity|PM25|Non-fatal heart attacks", US_national_yearly!$D:$AM, 10, FALSE), 1)</f>
        <v>1.770746100662029E-5</v>
      </c>
      <c r="J13" s="7">
        <f>$B13 * IFERROR(VLOOKUP("electricity|PM25|Non-fatal heart attacks", US_national_yearly!$D:$AM, 18, FALSE) / VLOOKUP("electricity|PM25|Non-fatal heart attacks", US_national_yearly!$D:$AM, 10, FALSE), 1)</f>
        <v>1.8040317199178392E-5</v>
      </c>
      <c r="K13" s="7">
        <f>$B13 * IFERROR(VLOOKUP("electricity|PM25|Non-fatal heart attacks", US_national_yearly!$D:$AM, 19, FALSE) / VLOOKUP("electricity|PM25|Non-fatal heart attacks", US_national_yearly!$D:$AM, 10, FALSE), 1)</f>
        <v>1.8373173391736487E-5</v>
      </c>
      <c r="L13" s="7">
        <f>$B13 * IFERROR(VLOOKUP("electricity|PM25|Non-fatal heart attacks", US_national_yearly!$D:$AM, 20, FALSE) / VLOOKUP("electricity|PM25|Non-fatal heart attacks", US_national_yearly!$D:$AM, 10, FALSE), 1)</f>
        <v>1.8706029584294585E-5</v>
      </c>
      <c r="M13" s="7">
        <f>$B13 * IFERROR(VLOOKUP("electricity|PM25|Non-fatal heart attacks", US_national_yearly!$D:$AM, 21, FALSE) / VLOOKUP("electricity|PM25|Non-fatal heart attacks", US_national_yearly!$D:$AM, 10, FALSE), 1)</f>
        <v>1.9038885776852687E-5</v>
      </c>
      <c r="N13" s="7">
        <f>$B13 * IFERROR(VLOOKUP("electricity|PM25|Non-fatal heart attacks", US_national_yearly!$D:$AM, 22, FALSE) / VLOOKUP("electricity|PM25|Non-fatal heart attacks", US_national_yearly!$D:$AM, 10, FALSE), 1)</f>
        <v>1.925486647647374E-5</v>
      </c>
      <c r="O13" s="7">
        <f>$B13 * IFERROR(VLOOKUP("electricity|PM25|Non-fatal heart attacks", US_national_yearly!$D:$AM, 23, FALSE) / VLOOKUP("electricity|PM25|Non-fatal heart attacks", US_national_yearly!$D:$AM, 10, FALSE), 1)</f>
        <v>1.9470847176094797E-5</v>
      </c>
      <c r="P13" s="7">
        <f>$B13 * IFERROR(VLOOKUP("electricity|PM25|Non-fatal heart attacks", US_national_yearly!$D:$AM, 24, FALSE) / VLOOKUP("electricity|PM25|Non-fatal heart attacks", US_national_yearly!$D:$AM, 10, FALSE), 1)</f>
        <v>1.9686827875715848E-5</v>
      </c>
      <c r="Q13" s="7">
        <f>$B13 * IFERROR(VLOOKUP("electricity|PM25|Non-fatal heart attacks", US_national_yearly!$D:$AM, 25, FALSE) / VLOOKUP("electricity|PM25|Non-fatal heart attacks", US_national_yearly!$D:$AM, 10, FALSE), 1)</f>
        <v>1.9902808575336901E-5</v>
      </c>
      <c r="R13" s="7">
        <f>$B13 * IFERROR(VLOOKUP("electricity|PM25|Non-fatal heart attacks", US_national_yearly!$D:$AM, 26, FALSE) / VLOOKUP("electricity|PM25|Non-fatal heart attacks", US_national_yearly!$D:$AM, 10, FALSE), 1)</f>
        <v>2.0118789274957958E-5</v>
      </c>
      <c r="S13" s="7">
        <f>$B13 * IFERROR(VLOOKUP("electricity|PM25|Non-fatal heart attacks", US_national_yearly!$D:$AM, 27, FALSE) / VLOOKUP("electricity|PM25|Non-fatal heart attacks", US_national_yearly!$D:$AM, 10, FALSE), 1)</f>
        <v>2.0237692198686895E-5</v>
      </c>
      <c r="T13" s="7">
        <f>$B13 * IFERROR(VLOOKUP("electricity|PM25|Non-fatal heart attacks", US_national_yearly!$D:$AM, 28, FALSE) / VLOOKUP("electricity|PM25|Non-fatal heart attacks", US_national_yearly!$D:$AM, 10, FALSE), 1)</f>
        <v>2.0356595122415838E-5</v>
      </c>
      <c r="U13" s="7">
        <f>$B13 * IFERROR(VLOOKUP("electricity|PM25|Non-fatal heart attacks", US_national_yearly!$D:$AM, 29, FALSE) / VLOOKUP("electricity|PM25|Non-fatal heart attacks", US_national_yearly!$D:$AM, 10, FALSE), 1)</f>
        <v>2.0475498046144778E-5</v>
      </c>
      <c r="V13" s="7">
        <f>$B13 * IFERROR(VLOOKUP("electricity|PM25|Non-fatal heart attacks", US_national_yearly!$D:$AM, 30, FALSE) / VLOOKUP("electricity|PM25|Non-fatal heart attacks", US_national_yearly!$D:$AM, 10, FALSE), 1)</f>
        <v>2.0594400969873715E-5</v>
      </c>
      <c r="W13" s="7">
        <f>$B13 * IFERROR(VLOOKUP("electricity|PM25|Non-fatal heart attacks", US_national_yearly!$D:$AM, 31, FALSE) / VLOOKUP("electricity|PM25|Non-fatal heart attacks", US_national_yearly!$D:$AM, 10, FALSE), 1)</f>
        <v>2.0713303893602658E-5</v>
      </c>
      <c r="X13" s="7">
        <f>$B13 * IFERROR(VLOOKUP("electricity|PM25|Non-fatal heart attacks", US_national_yearly!$D:$AM, 32, FALSE) / VLOOKUP("electricity|PM25|Non-fatal heart attacks", US_national_yearly!$D:$AM, 10, FALSE), 1)</f>
        <v>2.0806323527786986E-5</v>
      </c>
      <c r="Y13" s="7">
        <f>$B13 * IFERROR(VLOOKUP("electricity|PM25|Non-fatal heart attacks", US_national_yearly!$D:$AM, 33, FALSE) / VLOOKUP("electricity|PM25|Non-fatal heart attacks", US_national_yearly!$D:$AM, 10, FALSE), 1)</f>
        <v>2.0899343161971317E-5</v>
      </c>
      <c r="Z13" s="7">
        <f>$B13 * IFERROR(VLOOKUP("electricity|PM25|Non-fatal heart attacks", US_national_yearly!$D:$AM, 34, FALSE) / VLOOKUP("electricity|PM25|Non-fatal heart attacks", US_national_yearly!$D:$AM, 10, FALSE), 1)</f>
        <v>2.0992362796155647E-5</v>
      </c>
      <c r="AA13" s="7">
        <f>$B13 * IFERROR(VLOOKUP("electricity|PM25|Non-fatal heart attacks", US_national_yearly!$D:$AM, 35, FALSE) / VLOOKUP("electricity|PM25|Non-fatal heart attacks", US_national_yearly!$D:$AM, 10, FALSE), 1)</f>
        <v>2.1085382430339982E-5</v>
      </c>
      <c r="AB13" s="7">
        <f>$B13 * IFERROR(VLOOKUP("electricity|PM25|Non-fatal heart attacks", US_national_yearly!$D:$AM, 36, FALSE) / VLOOKUP("electricity|PM25|Non-fatal heart attacks", US_national_yearly!$D:$AM, 10, FALSE), 1)</f>
        <v>2.1178402064524309E-5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6.0108240039906849E-2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6.0241676292463617E-2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6.0375112545020398E-2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6.0508548797577166E-2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6.0641985050133948E-2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6.0839988987156417E-2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6.1037992924178885E-2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6.1387613959904747E-2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6.1737234995630615E-2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6.2086856031356469E-2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6.2436477067082337E-2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6.2786098102808191E-2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6.3271123311438096E-2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6.3756148520068029E-2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6.4241173728697948E-2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6.4726198937327867E-2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6.5211224145957786E-2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6.5700432942949069E-2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6.6189641739940352E-2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6.6678850536931636E-2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6.7168059333922933E-2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6.7657268130914217E-2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6.8076622182496188E-2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6.8495976234078187E-2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6.8915330285660187E-2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6.9334684337242145E-2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6.9754038388824158E-2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1.0146036796329468E-2</v>
      </c>
      <c r="C15" s="7">
        <f>$B15 * IFERROR(VLOOKUP("electricity|PM25|Work loss days", US_national_yearly!$D:$AM, 11, FALSE) / VLOOKUP("electricity|PM25|Work loss days", US_national_yearly!$D:$AM, 10, FALSE), 1)</f>
        <v>1.0175070267112589E-2</v>
      </c>
      <c r="D15" s="7">
        <f>$B15 * IFERROR(VLOOKUP("electricity|PM25|Work loss days", US_national_yearly!$D:$AM, 12, FALSE) / VLOOKUP("electricity|PM25|Work loss days", US_national_yearly!$D:$AM, 10, FALSE), 1)</f>
        <v>1.0204103737895712E-2</v>
      </c>
      <c r="E15" s="7">
        <f>$B15 * IFERROR(VLOOKUP("electricity|PM25|Work loss days", US_national_yearly!$D:$AM, 13, FALSE) / VLOOKUP("electricity|PM25|Work loss days", US_national_yearly!$D:$AM, 10, FALSE), 1)</f>
        <v>1.0233137208678834E-2</v>
      </c>
      <c r="F15" s="7">
        <f>$B15 * IFERROR(VLOOKUP("electricity|PM25|Work loss days", US_national_yearly!$D:$AM, 14, FALSE) / VLOOKUP("electricity|PM25|Work loss days", US_national_yearly!$D:$AM, 10, FALSE), 1)</f>
        <v>1.0262170679461955E-2</v>
      </c>
      <c r="G15" s="7">
        <f>$B15 * IFERROR(VLOOKUP("electricity|PM25|Work loss days", US_national_yearly!$D:$AM, 15, FALSE) / VLOOKUP("electricity|PM25|Work loss days", US_national_yearly!$D:$AM, 10, FALSE), 1)</f>
        <v>1.0299782050432738E-2</v>
      </c>
      <c r="H15" s="7">
        <f>$B15 * IFERROR(VLOOKUP("electricity|PM25|Work loss days", US_national_yearly!$D:$AM, 16, FALSE) / VLOOKUP("electricity|PM25|Work loss days", US_national_yearly!$D:$AM, 10, FALSE), 1)</f>
        <v>1.0337393421403522E-2</v>
      </c>
      <c r="I15" s="7">
        <f>$B15 * IFERROR(VLOOKUP("electricity|PM25|Work loss days", US_national_yearly!$D:$AM, 17, FALSE) / VLOOKUP("electricity|PM25|Work loss days", US_national_yearly!$D:$AM, 10, FALSE), 1)</f>
        <v>1.0393935695173375E-2</v>
      </c>
      <c r="J15" s="7">
        <f>$B15 * IFERROR(VLOOKUP("electricity|PM25|Work loss days", US_national_yearly!$D:$AM, 18, FALSE) / VLOOKUP("electricity|PM25|Work loss days", US_national_yearly!$D:$AM, 10, FALSE), 1)</f>
        <v>1.0450477968943227E-2</v>
      </c>
      <c r="K15" s="7">
        <f>$B15 * IFERROR(VLOOKUP("electricity|PM25|Work loss days", US_national_yearly!$D:$AM, 19, FALSE) / VLOOKUP("electricity|PM25|Work loss days", US_national_yearly!$D:$AM, 10, FALSE), 1)</f>
        <v>1.0507020242713081E-2</v>
      </c>
      <c r="L15" s="7">
        <f>$B15 * IFERROR(VLOOKUP("electricity|PM25|Work loss days", US_national_yearly!$D:$AM, 20, FALSE) / VLOOKUP("electricity|PM25|Work loss days", US_national_yearly!$D:$AM, 10, FALSE), 1)</f>
        <v>1.0563562516482935E-2</v>
      </c>
      <c r="M15" s="7">
        <f>$B15 * IFERROR(VLOOKUP("electricity|PM25|Work loss days", US_national_yearly!$D:$AM, 21, FALSE) / VLOOKUP("electricity|PM25|Work loss days", US_national_yearly!$D:$AM, 10, FALSE), 1)</f>
        <v>1.0620104790252789E-2</v>
      </c>
      <c r="N15" s="7">
        <f>$B15 * IFERROR(VLOOKUP("electricity|PM25|Work loss days", US_national_yearly!$D:$AM, 22, FALSE) / VLOOKUP("electricity|PM25|Work loss days", US_national_yearly!$D:$AM, 10, FALSE), 1)</f>
        <v>1.06931047909943E-2</v>
      </c>
      <c r="O15" s="7">
        <f>$B15 * IFERROR(VLOOKUP("electricity|PM25|Work loss days", US_national_yearly!$D:$AM, 23, FALSE) / VLOOKUP("electricity|PM25|Work loss days", US_national_yearly!$D:$AM, 10, FALSE), 1)</f>
        <v>1.0766104791735811E-2</v>
      </c>
      <c r="P15" s="7">
        <f>$B15 * IFERROR(VLOOKUP("electricity|PM25|Work loss days", US_national_yearly!$D:$AM, 24, FALSE) / VLOOKUP("electricity|PM25|Work loss days", US_national_yearly!$D:$AM, 10, FALSE), 1)</f>
        <v>1.083910479247732E-2</v>
      </c>
      <c r="Q15" s="7">
        <f>$B15 * IFERROR(VLOOKUP("electricity|PM25|Work loss days", US_national_yearly!$D:$AM, 25, FALSE) / VLOOKUP("electricity|PM25|Work loss days", US_national_yearly!$D:$AM, 10, FALSE), 1)</f>
        <v>1.091210479321883E-2</v>
      </c>
      <c r="R15" s="7">
        <f>$B15 * IFERROR(VLOOKUP("electricity|PM25|Work loss days", US_national_yearly!$D:$AM, 26, FALSE) / VLOOKUP("electricity|PM25|Work loss days", US_national_yearly!$D:$AM, 10, FALSE), 1)</f>
        <v>1.0985104793960341E-2</v>
      </c>
      <c r="S15" s="7">
        <f>$B15 * IFERROR(VLOOKUP("electricity|PM25|Work loss days", US_national_yearly!$D:$AM, 27, FALSE) / VLOOKUP("electricity|PM25|Work loss days", US_national_yearly!$D:$AM, 10, FALSE), 1)</f>
        <v>1.1066109017384938E-2</v>
      </c>
      <c r="T15" s="7">
        <f>$B15 * IFERROR(VLOOKUP("electricity|PM25|Work loss days", US_national_yearly!$D:$AM, 28, FALSE) / VLOOKUP("electricity|PM25|Work loss days", US_national_yearly!$D:$AM, 10, FALSE), 1)</f>
        <v>1.1147113240809537E-2</v>
      </c>
      <c r="U15" s="7">
        <f>$B15 * IFERROR(VLOOKUP("electricity|PM25|Work loss days", US_national_yearly!$D:$AM, 29, FALSE) / VLOOKUP("electricity|PM25|Work loss days", US_national_yearly!$D:$AM, 10, FALSE), 1)</f>
        <v>1.1228117464234135E-2</v>
      </c>
      <c r="V15" s="7">
        <f>$B15 * IFERROR(VLOOKUP("electricity|PM25|Work loss days", US_national_yearly!$D:$AM, 30, FALSE) / VLOOKUP("electricity|PM25|Work loss days", US_national_yearly!$D:$AM, 10, FALSE), 1)</f>
        <v>1.1309121687658734E-2</v>
      </c>
      <c r="W15" s="7">
        <f>$B15 * IFERROR(VLOOKUP("electricity|PM25|Work loss days", US_national_yearly!$D:$AM, 31, FALSE) / VLOOKUP("electricity|PM25|Work loss days", US_national_yearly!$D:$AM, 10, FALSE), 1)</f>
        <v>1.1390125911083331E-2</v>
      </c>
      <c r="X15" s="7">
        <f>$B15 * IFERROR(VLOOKUP("electricity|PM25|Work loss days", US_national_yearly!$D:$AM, 32, FALSE) / VLOOKUP("electricity|PM25|Work loss days", US_national_yearly!$D:$AM, 10, FALSE), 1)</f>
        <v>1.1461584927760613E-2</v>
      </c>
      <c r="Y15" s="7">
        <f>$B15 * IFERROR(VLOOKUP("electricity|PM25|Work loss days", US_national_yearly!$D:$AM, 33, FALSE) / VLOOKUP("electricity|PM25|Work loss days", US_national_yearly!$D:$AM, 10, FALSE), 1)</f>
        <v>1.1533043944437891E-2</v>
      </c>
      <c r="Z15" s="7">
        <f>$B15 * IFERROR(VLOOKUP("electricity|PM25|Work loss days", US_national_yearly!$D:$AM, 34, FALSE) / VLOOKUP("electricity|PM25|Work loss days", US_national_yearly!$D:$AM, 10, FALSE), 1)</f>
        <v>1.1604502961115171E-2</v>
      </c>
      <c r="AA15" s="7">
        <f>$B15 * IFERROR(VLOOKUP("electricity|PM25|Work loss days", US_national_yearly!$D:$AM, 35, FALSE) / VLOOKUP("electricity|PM25|Work loss days", US_national_yearly!$D:$AM, 10, FALSE), 1)</f>
        <v>1.1675961977792453E-2</v>
      </c>
      <c r="AB15" s="7">
        <f>$B15 * IFERROR(VLOOKUP("electricity|PM25|Work loss days", US_national_yearly!$D:$AM, 36, FALSE) / VLOOKUP("electricity|PM25|Work loss days", US_national_yearly!$D:$AM, 10, FALSE), 1)</f>
        <v>1.1747420994469734E-2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1.7310820319861293E-5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1.7824517340441263E-5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1.8338214361021233E-5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1.8851911381601202E-5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1.9365608402181172E-5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1.9861068381585017E-5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2.0356528360988861E-5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2.0785735172291661E-5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2.1214941983594463E-5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2.1644148794897263E-5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2.2073355606200065E-5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2.2502562417502861E-5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2.2791085073778303E-5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2.3079607730053737E-5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2.3368130386329172E-5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2.365665304260461E-5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2.3945175698880045E-5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2.4104411738003492E-5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2.426364777712693E-5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2.4422883816250374E-5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2.4582119855373818E-5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2.4741355894497259E-5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2.4852447578883321E-5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2.4963539263269376E-5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2.5074630947655438E-5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2.51857226320415E-5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2.5296814316427562E-5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1.0461743335577492E-5</v>
      </c>
      <c r="C2" s="7">
        <f>$B2 * IFERROR(VLOOKUP("electricity|NOx|Premature mortality", US_national_yearly!$D:$AM, 11, FALSE) / VLOOKUP("electricity|NOx|Premature mortality", US_national_yearly!$D:$AM, 10, FALSE), 1)</f>
        <v>1.0620036141930011E-5</v>
      </c>
      <c r="D2" s="7">
        <f>$B2 * IFERROR(VLOOKUP("electricity|NOx|Premature mortality", US_national_yearly!$D:$AM, 12, FALSE) / VLOOKUP("electricity|NOx|Premature mortality", US_national_yearly!$D:$AM, 10, FALSE), 1)</f>
        <v>1.0778328948282534E-5</v>
      </c>
      <c r="E2" s="7">
        <f>$B2 * IFERROR(VLOOKUP("electricity|NOx|Premature mortality", US_national_yearly!$D:$AM, 13, FALSE) / VLOOKUP("electricity|NOx|Premature mortality", US_national_yearly!$D:$AM, 10, FALSE), 1)</f>
        <v>1.0936621754635053E-5</v>
      </c>
      <c r="F2" s="7">
        <f>$B2 * IFERROR(VLOOKUP("electricity|NOx|Premature mortality", US_national_yearly!$D:$AM, 14, FALSE) / VLOOKUP("electricity|NOx|Premature mortality", US_national_yearly!$D:$AM, 10, FALSE), 1)</f>
        <v>1.1094914560987574E-5</v>
      </c>
      <c r="G2" s="7">
        <f>$B2 * IFERROR(VLOOKUP("electricity|NOx|Premature mortality", US_national_yearly!$D:$AM, 15, FALSE) / VLOOKUP("electricity|NOx|Premature mortality", US_national_yearly!$D:$AM, 10, FALSE), 1)</f>
        <v>1.1377683811018185E-5</v>
      </c>
      <c r="H2" s="7">
        <f>$B2 * IFERROR(VLOOKUP("electricity|NOx|Premature mortality", US_national_yearly!$D:$AM, 16, FALSE) / VLOOKUP("electricity|NOx|Premature mortality", US_national_yearly!$D:$AM, 10, FALSE), 1)</f>
        <v>1.1660453061048794E-5</v>
      </c>
      <c r="I2" s="7">
        <f>$B2 * IFERROR(VLOOKUP("electricity|NOx|Premature mortality", US_national_yearly!$D:$AM, 17, FALSE) / VLOOKUP("electricity|NOx|Premature mortality", US_national_yearly!$D:$AM, 10, FALSE), 1)</f>
        <v>1.1848364842385211E-5</v>
      </c>
      <c r="J2" s="7">
        <f>$B2 * IFERROR(VLOOKUP("electricity|NOx|Premature mortality", US_national_yearly!$D:$AM, 18, FALSE) / VLOOKUP("electricity|NOx|Premature mortality", US_national_yearly!$D:$AM, 10, FALSE), 1)</f>
        <v>1.2036276623721631E-5</v>
      </c>
      <c r="K2" s="7">
        <f>$B2 * IFERROR(VLOOKUP("electricity|NOx|Premature mortality", US_national_yearly!$D:$AM, 19, FALSE) / VLOOKUP("electricity|NOx|Premature mortality", US_national_yearly!$D:$AM, 10, FALSE), 1)</f>
        <v>1.2224188405058048E-5</v>
      </c>
      <c r="L2" s="7">
        <f>$B2 * IFERROR(VLOOKUP("electricity|NOx|Premature mortality", US_national_yearly!$D:$AM, 20, FALSE) / VLOOKUP("electricity|NOx|Premature mortality", US_national_yearly!$D:$AM, 10, FALSE), 1)</f>
        <v>1.2412100186394465E-5</v>
      </c>
      <c r="M2" s="7">
        <f>$B2 * IFERROR(VLOOKUP("electricity|NOx|Premature mortality", US_national_yearly!$D:$AM, 21, FALSE) / VLOOKUP("electricity|NOx|Premature mortality", US_national_yearly!$D:$AM, 10, FALSE), 1)</f>
        <v>1.2600011967730881E-5</v>
      </c>
      <c r="N2" s="7">
        <f>$B2 * IFERROR(VLOOKUP("electricity|NOx|Premature mortality", US_national_yearly!$D:$AM, 22, FALSE) / VLOOKUP("electricity|NOx|Premature mortality", US_national_yearly!$D:$AM, 10, FALSE), 1)</f>
        <v>1.2745007630551977E-5</v>
      </c>
      <c r="O2" s="7">
        <f>$B2 * IFERROR(VLOOKUP("electricity|NOx|Premature mortality", US_national_yearly!$D:$AM, 23, FALSE) / VLOOKUP("electricity|NOx|Premature mortality", US_national_yearly!$D:$AM, 10, FALSE), 1)</f>
        <v>1.2890003293373075E-5</v>
      </c>
      <c r="P2" s="7">
        <f>$B2 * IFERROR(VLOOKUP("electricity|NOx|Premature mortality", US_national_yearly!$D:$AM, 24, FALSE) / VLOOKUP("electricity|NOx|Premature mortality", US_national_yearly!$D:$AM, 10, FALSE), 1)</f>
        <v>1.303499895619417E-5</v>
      </c>
      <c r="Q2" s="7">
        <f>$B2 * IFERROR(VLOOKUP("electricity|NOx|Premature mortality", US_national_yearly!$D:$AM, 25, FALSE) / VLOOKUP("electricity|NOx|Premature mortality", US_national_yearly!$D:$AM, 10, FALSE), 1)</f>
        <v>1.3179994619015269E-5</v>
      </c>
      <c r="R2" s="7">
        <f>$B2 * IFERROR(VLOOKUP("electricity|NOx|Premature mortality", US_national_yearly!$D:$AM, 26, FALSE) / VLOOKUP("electricity|NOx|Premature mortality", US_national_yearly!$D:$AM, 10, FALSE), 1)</f>
        <v>1.3324990281836364E-5</v>
      </c>
      <c r="S2" s="7">
        <f>$B2 * IFERROR(VLOOKUP("electricity|NOx|Premature mortality", US_national_yearly!$D:$AM, 27, FALSE) / VLOOKUP("electricity|NOx|Premature mortality", US_national_yearly!$D:$AM, 10, FALSE), 1)</f>
        <v>1.3399915611886699E-5</v>
      </c>
      <c r="T2" s="7">
        <f>$B2 * IFERROR(VLOOKUP("electricity|NOx|Premature mortality", US_national_yearly!$D:$AM, 28, FALSE) / VLOOKUP("electricity|NOx|Premature mortality", US_national_yearly!$D:$AM, 10, FALSE), 1)</f>
        <v>1.3474840941937034E-5</v>
      </c>
      <c r="U2" s="7">
        <f>$B2 * IFERROR(VLOOKUP("electricity|NOx|Premature mortality", US_national_yearly!$D:$AM, 29, FALSE) / VLOOKUP("electricity|NOx|Premature mortality", US_national_yearly!$D:$AM, 10, FALSE), 1)</f>
        <v>1.3549766271987374E-5</v>
      </c>
      <c r="V2" s="7">
        <f>$B2 * IFERROR(VLOOKUP("electricity|NOx|Premature mortality", US_national_yearly!$D:$AM, 30, FALSE) / VLOOKUP("electricity|NOx|Premature mortality", US_national_yearly!$D:$AM, 10, FALSE), 1)</f>
        <v>1.3624691602037709E-5</v>
      </c>
      <c r="W2" s="7">
        <f>$B2 * IFERROR(VLOOKUP("electricity|NOx|Premature mortality", US_national_yearly!$D:$AM, 31, FALSE) / VLOOKUP("electricity|NOx|Premature mortality", US_national_yearly!$D:$AM, 10, FALSE), 1)</f>
        <v>1.3699616932088046E-5</v>
      </c>
      <c r="X2" s="7">
        <f>$B2 * IFERROR(VLOOKUP("electricity|NOx|Premature mortality", US_national_yearly!$D:$AM, 32, FALSE) / VLOOKUP("electricity|NOx|Premature mortality", US_national_yearly!$D:$AM, 10, FALSE), 1)</f>
        <v>1.3716567369395049E-5</v>
      </c>
      <c r="Y2" s="7">
        <f>$B2 * IFERROR(VLOOKUP("electricity|NOx|Premature mortality", US_national_yearly!$D:$AM, 33, FALSE) / VLOOKUP("electricity|NOx|Premature mortality", US_national_yearly!$D:$AM, 10, FALSE), 1)</f>
        <v>1.3733517806702054E-5</v>
      </c>
      <c r="Z2" s="7">
        <f>$B2 * IFERROR(VLOOKUP("electricity|NOx|Premature mortality", US_national_yearly!$D:$AM, 34, FALSE) / VLOOKUP("electricity|NOx|Premature mortality", US_national_yearly!$D:$AM, 10, FALSE), 1)</f>
        <v>1.3750468244009058E-5</v>
      </c>
      <c r="AA2" s="7">
        <f>$B2 * IFERROR(VLOOKUP("electricity|NOx|Premature mortality", US_national_yearly!$D:$AM, 35, FALSE) / VLOOKUP("electricity|NOx|Premature mortality", US_national_yearly!$D:$AM, 10, FALSE), 1)</f>
        <v>1.3767418681316059E-5</v>
      </c>
      <c r="AB2" s="7">
        <f>$B2 * IFERROR(VLOOKUP("electricity|NOx|Premature mortality", US_national_yearly!$D:$AM, 36, FALSE) / VLOOKUP("electricity|NOx|Premature mortality", US_national_yearly!$D:$AM, 10, FALSE), 1)</f>
        <v>1.3784369118623064E-5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2.3128889590789138E-8</v>
      </c>
      <c r="C3" s="7">
        <f>$B3 * IFERROR(VLOOKUP("electricity|NOx|Infant mortality", US_national_yearly!$D:$AM, 11, FALSE) / VLOOKUP("electricity|NOx|Infant mortality", US_national_yearly!$D:$AM, 10, FALSE), 1)</f>
        <v>2.2912505613941444E-8</v>
      </c>
      <c r="D3" s="7">
        <f>$B3 * IFERROR(VLOOKUP("electricity|NOx|Infant mortality", US_national_yearly!$D:$AM, 12, FALSE) / VLOOKUP("electricity|NOx|Infant mortality", US_national_yearly!$D:$AM, 10, FALSE), 1)</f>
        <v>2.2696121637093746E-8</v>
      </c>
      <c r="E3" s="7">
        <f>$B3 * IFERROR(VLOOKUP("electricity|NOx|Infant mortality", US_national_yearly!$D:$AM, 13, FALSE) / VLOOKUP("electricity|NOx|Infant mortality", US_national_yearly!$D:$AM, 10, FALSE), 1)</f>
        <v>2.2479737660246051E-8</v>
      </c>
      <c r="F3" s="7">
        <f>$B3 * IFERROR(VLOOKUP("electricity|NOx|Infant mortality", US_national_yearly!$D:$AM, 14, FALSE) / VLOOKUP("electricity|NOx|Infant mortality", US_national_yearly!$D:$AM, 10, FALSE), 1)</f>
        <v>2.2263353683398354E-8</v>
      </c>
      <c r="G3" s="7">
        <f>$B3 * IFERROR(VLOOKUP("electricity|NOx|Infant mortality", US_national_yearly!$D:$AM, 15, FALSE) / VLOOKUP("electricity|NOx|Infant mortality", US_national_yearly!$D:$AM, 10, FALSE), 1)</f>
        <v>1.4750574822266687E-8</v>
      </c>
      <c r="H3" s="7">
        <f>$B3 * IFERROR(VLOOKUP("electricity|NOx|Infant mortality", US_national_yearly!$D:$AM, 16, FALSE) / VLOOKUP("electricity|NOx|Infant mortality", US_national_yearly!$D:$AM, 10, FALSE), 1)</f>
        <v>7.2377959611350243E-9</v>
      </c>
      <c r="I3" s="7">
        <f>$B3 * IFERROR(VLOOKUP("electricity|NOx|Infant mortality", US_national_yearly!$D:$AM, 17, FALSE) / VLOOKUP("electricity|NOx|Infant mortality", US_national_yearly!$D:$AM, 10, FALSE), 1)</f>
        <v>7.1851587537527758E-9</v>
      </c>
      <c r="J3" s="7">
        <f>$B3 * IFERROR(VLOOKUP("electricity|NOx|Infant mortality", US_national_yearly!$D:$AM, 18, FALSE) / VLOOKUP("electricity|NOx|Infant mortality", US_national_yearly!$D:$AM, 10, FALSE), 1)</f>
        <v>7.1325215463705281E-9</v>
      </c>
      <c r="K3" s="7">
        <f>$B3 * IFERROR(VLOOKUP("electricity|NOx|Infant mortality", US_national_yearly!$D:$AM, 19, FALSE) / VLOOKUP("electricity|NOx|Infant mortality", US_national_yearly!$D:$AM, 10, FALSE), 1)</f>
        <v>7.0798843389882804E-9</v>
      </c>
      <c r="L3" s="7">
        <f>$B3 * IFERROR(VLOOKUP("electricity|NOx|Infant mortality", US_national_yearly!$D:$AM, 20, FALSE) / VLOOKUP("electricity|NOx|Infant mortality", US_national_yearly!$D:$AM, 10, FALSE), 1)</f>
        <v>7.0272471316060319E-9</v>
      </c>
      <c r="M3" s="7">
        <f>$B3 * IFERROR(VLOOKUP("electricity|NOx|Infant mortality", US_national_yearly!$D:$AM, 21, FALSE) / VLOOKUP("electricity|NOx|Infant mortality", US_national_yearly!$D:$AM, 10, FALSE), 1)</f>
        <v>6.9746099242237825E-9</v>
      </c>
      <c r="N3" s="7">
        <f>$B3 * IFERROR(VLOOKUP("electricity|NOx|Infant mortality", US_national_yearly!$D:$AM, 22, FALSE) / VLOOKUP("electricity|NOx|Infant mortality", US_national_yearly!$D:$AM, 10, FALSE), 1)</f>
        <v>6.9392636613519842E-9</v>
      </c>
      <c r="O3" s="7">
        <f>$B3 * IFERROR(VLOOKUP("electricity|NOx|Infant mortality", US_national_yearly!$D:$AM, 23, FALSE) / VLOOKUP("electricity|NOx|Infant mortality", US_national_yearly!$D:$AM, 10, FALSE), 1)</f>
        <v>6.903917398480185E-9</v>
      </c>
      <c r="P3" s="7">
        <f>$B3 * IFERROR(VLOOKUP("electricity|NOx|Infant mortality", US_national_yearly!$D:$AM, 24, FALSE) / VLOOKUP("electricity|NOx|Infant mortality", US_national_yearly!$D:$AM, 10, FALSE), 1)</f>
        <v>6.8685711356083849E-9</v>
      </c>
      <c r="Q3" s="7">
        <f>$B3 * IFERROR(VLOOKUP("electricity|NOx|Infant mortality", US_national_yearly!$D:$AM, 25, FALSE) / VLOOKUP("electricity|NOx|Infant mortality", US_national_yearly!$D:$AM, 10, FALSE), 1)</f>
        <v>6.8332248727365857E-9</v>
      </c>
      <c r="R3" s="7">
        <f>$B3 * IFERROR(VLOOKUP("electricity|NOx|Infant mortality", US_national_yearly!$D:$AM, 26, FALSE) / VLOOKUP("electricity|NOx|Infant mortality", US_national_yearly!$D:$AM, 10, FALSE), 1)</f>
        <v>6.7978786098647873E-9</v>
      </c>
      <c r="S3" s="7">
        <f>$B3 * IFERROR(VLOOKUP("electricity|NOx|Infant mortality", US_national_yearly!$D:$AM, 27, FALSE) / VLOOKUP("electricity|NOx|Infant mortality", US_national_yearly!$D:$AM, 10, FALSE), 1)</f>
        <v>6.7559164404796748E-9</v>
      </c>
      <c r="T3" s="7">
        <f>$B3 * IFERROR(VLOOKUP("electricity|NOx|Infant mortality", US_national_yearly!$D:$AM, 28, FALSE) / VLOOKUP("electricity|NOx|Infant mortality", US_national_yearly!$D:$AM, 10, FALSE), 1)</f>
        <v>6.7139542710945615E-9</v>
      </c>
      <c r="U3" s="7">
        <f>$B3 * IFERROR(VLOOKUP("electricity|NOx|Infant mortality", US_national_yearly!$D:$AM, 29, FALSE) / VLOOKUP("electricity|NOx|Infant mortality", US_national_yearly!$D:$AM, 10, FALSE), 1)</f>
        <v>6.6719921017094507E-9</v>
      </c>
      <c r="V3" s="7">
        <f>$B3 * IFERROR(VLOOKUP("electricity|NOx|Infant mortality", US_national_yearly!$D:$AM, 30, FALSE) / VLOOKUP("electricity|NOx|Infant mortality", US_national_yearly!$D:$AM, 10, FALSE), 1)</f>
        <v>6.6300299323243391E-9</v>
      </c>
      <c r="W3" s="7">
        <f>$B3 * IFERROR(VLOOKUP("electricity|NOx|Infant mortality", US_national_yearly!$D:$AM, 31, FALSE) / VLOOKUP("electricity|NOx|Infant mortality", US_national_yearly!$D:$AM, 10, FALSE), 1)</f>
        <v>6.5880677629392266E-9</v>
      </c>
      <c r="X3" s="7">
        <f>$B3 * IFERROR(VLOOKUP("electricity|NOx|Infant mortality", US_national_yearly!$D:$AM, 32, FALSE) / VLOOKUP("electricity|NOx|Infant mortality", US_national_yearly!$D:$AM, 10, FALSE), 1)</f>
        <v>6.5448603925248228E-9</v>
      </c>
      <c r="Y3" s="7">
        <f>$B3 * IFERROR(VLOOKUP("electricity|NOx|Infant mortality", US_national_yearly!$D:$AM, 33, FALSE) / VLOOKUP("electricity|NOx|Infant mortality", US_national_yearly!$D:$AM, 10, FALSE), 1)</f>
        <v>6.5016530221104198E-9</v>
      </c>
      <c r="Z3" s="7">
        <f>$B3 * IFERROR(VLOOKUP("electricity|NOx|Infant mortality", US_national_yearly!$D:$AM, 34, FALSE) / VLOOKUP("electricity|NOx|Infant mortality", US_national_yearly!$D:$AM, 10, FALSE), 1)</f>
        <v>6.458445651696016E-9</v>
      </c>
      <c r="AA3" s="7">
        <f>$B3 * IFERROR(VLOOKUP("electricity|NOx|Infant mortality", US_national_yearly!$D:$AM, 35, FALSE) / VLOOKUP("electricity|NOx|Infant mortality", US_national_yearly!$D:$AM, 10, FALSE), 1)</f>
        <v>6.415238281281613E-9</v>
      </c>
      <c r="AB3" s="7">
        <f>$B3 * IFERROR(VLOOKUP("electricity|NOx|Infant mortality", US_national_yearly!$D:$AM, 36, FALSE) / VLOOKUP("electricity|NOx|Infant mortality", US_national_yearly!$D:$AM, 10, FALSE), 1)</f>
        <v>6.3720309108672084E-9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2.3327246772791219E-5</v>
      </c>
      <c r="C6" s="7">
        <f>$B6 * IFERROR(VLOOKUP("electricity|NOx|Asthma symptoms cough", US_national_yearly!$D:$AM, 11, FALSE) / VLOOKUP("electricity|NOx|Asthma symptoms cough", US_national_yearly!$D:$AM, 10, FALSE), 1)</f>
        <v>2.3647500267447106E-5</v>
      </c>
      <c r="D6" s="7">
        <f>$B6 * IFERROR(VLOOKUP("electricity|NOx|Asthma symptoms cough", US_national_yearly!$D:$AM, 12, FALSE) / VLOOKUP("electricity|NOx|Asthma symptoms cough", US_national_yearly!$D:$AM, 10, FALSE), 1)</f>
        <v>2.3967753762102996E-5</v>
      </c>
      <c r="E6" s="7">
        <f>$B6 * IFERROR(VLOOKUP("electricity|NOx|Asthma symptoms cough", US_national_yearly!$D:$AM, 13, FALSE) / VLOOKUP("electricity|NOx|Asthma symptoms cough", US_national_yearly!$D:$AM, 10, FALSE), 1)</f>
        <v>2.4288007256758879E-5</v>
      </c>
      <c r="F6" s="7">
        <f>$B6 * IFERROR(VLOOKUP("electricity|NOx|Asthma symptoms cough", US_national_yearly!$D:$AM, 14, FALSE) / VLOOKUP("electricity|NOx|Asthma symptoms cough", US_national_yearly!$D:$AM, 10, FALSE), 1)</f>
        <v>2.4608260751414766E-5</v>
      </c>
      <c r="G6" s="7">
        <f>$B6 * IFERROR(VLOOKUP("electricity|NOx|Asthma symptoms cough", US_national_yearly!$D:$AM, 15, FALSE) / VLOOKUP("electricity|NOx|Asthma symptoms cough", US_national_yearly!$D:$AM, 10, FALSE), 1)</f>
        <v>2.4868643823127836E-5</v>
      </c>
      <c r="H6" s="7">
        <f>$B6 * IFERROR(VLOOKUP("electricity|NOx|Asthma symptoms cough", US_national_yearly!$D:$AM, 16, FALSE) / VLOOKUP("electricity|NOx|Asthma symptoms cough", US_national_yearly!$D:$AM, 10, FALSE), 1)</f>
        <v>2.5129026894840907E-5</v>
      </c>
      <c r="I6" s="7">
        <f>$B6 * IFERROR(VLOOKUP("electricity|NOx|Asthma symptoms cough", US_national_yearly!$D:$AM, 17, FALSE) / VLOOKUP("electricity|NOx|Asthma symptoms cough", US_national_yearly!$D:$AM, 10, FALSE), 1)</f>
        <v>2.5225821188217533E-5</v>
      </c>
      <c r="J6" s="7">
        <f>$B6 * IFERROR(VLOOKUP("electricity|NOx|Asthma symptoms cough", US_national_yearly!$D:$AM, 18, FALSE) / VLOOKUP("electricity|NOx|Asthma symptoms cough", US_national_yearly!$D:$AM, 10, FALSE), 1)</f>
        <v>2.5322615481594163E-5</v>
      </c>
      <c r="K6" s="7">
        <f>$B6 * IFERROR(VLOOKUP("electricity|NOx|Asthma symptoms cough", US_national_yearly!$D:$AM, 19, FALSE) / VLOOKUP("electricity|NOx|Asthma symptoms cough", US_national_yearly!$D:$AM, 10, FALSE), 1)</f>
        <v>2.5419409774970797E-5</v>
      </c>
      <c r="L6" s="7">
        <f>$B6 * IFERROR(VLOOKUP("electricity|NOx|Asthma symptoms cough", US_national_yearly!$D:$AM, 20, FALSE) / VLOOKUP("electricity|NOx|Asthma symptoms cough", US_national_yearly!$D:$AM, 10, FALSE), 1)</f>
        <v>2.5516204068347423E-5</v>
      </c>
      <c r="M6" s="7">
        <f>$B6 * IFERROR(VLOOKUP("electricity|NOx|Asthma symptoms cough", US_national_yearly!$D:$AM, 21, FALSE) / VLOOKUP("electricity|NOx|Asthma symptoms cough", US_national_yearly!$D:$AM, 10, FALSE), 1)</f>
        <v>2.561299836172406E-5</v>
      </c>
      <c r="N6" s="7">
        <f>$B6 * IFERROR(VLOOKUP("electricity|NOx|Asthma symptoms cough", US_national_yearly!$D:$AM, 22, FALSE) / VLOOKUP("electricity|NOx|Asthma symptoms cough", US_national_yearly!$D:$AM, 10, FALSE), 1)</f>
        <v>2.5720245632534726E-5</v>
      </c>
      <c r="O6" s="7">
        <f>$B6 * IFERROR(VLOOKUP("electricity|NOx|Asthma symptoms cough", US_national_yearly!$D:$AM, 23, FALSE) / VLOOKUP("electricity|NOx|Asthma symptoms cough", US_national_yearly!$D:$AM, 10, FALSE), 1)</f>
        <v>2.58274929033454E-5</v>
      </c>
      <c r="P6" s="7">
        <f>$B6 * IFERROR(VLOOKUP("electricity|NOx|Asthma symptoms cough", US_national_yearly!$D:$AM, 24, FALSE) / VLOOKUP("electricity|NOx|Asthma symptoms cough", US_national_yearly!$D:$AM, 10, FALSE), 1)</f>
        <v>2.5934740174156066E-5</v>
      </c>
      <c r="Q6" s="7">
        <f>$B6 * IFERROR(VLOOKUP("electricity|NOx|Asthma symptoms cough", US_national_yearly!$D:$AM, 25, FALSE) / VLOOKUP("electricity|NOx|Asthma symptoms cough", US_national_yearly!$D:$AM, 10, FALSE), 1)</f>
        <v>2.604198744496674E-5</v>
      </c>
      <c r="R6" s="7">
        <f>$B6 * IFERROR(VLOOKUP("electricity|NOx|Asthma symptoms cough", US_national_yearly!$D:$AM, 26, FALSE) / VLOOKUP("electricity|NOx|Asthma symptoms cough", US_national_yearly!$D:$AM, 10, FALSE), 1)</f>
        <v>2.6149234715777409E-5</v>
      </c>
      <c r="S6" s="7">
        <f>$B6 * IFERROR(VLOOKUP("electricity|NOx|Asthma symptoms cough", US_national_yearly!$D:$AM, 27, FALSE) / VLOOKUP("electricity|NOx|Asthma symptoms cough", US_national_yearly!$D:$AM, 10, FALSE), 1)</f>
        <v>2.6283035562289627E-5</v>
      </c>
      <c r="T6" s="7">
        <f>$B6 * IFERROR(VLOOKUP("electricity|NOx|Asthma symptoms cough", US_national_yearly!$D:$AM, 28, FALSE) / VLOOKUP("electricity|NOx|Asthma symptoms cough", US_national_yearly!$D:$AM, 10, FALSE), 1)</f>
        <v>2.6416836408801837E-5</v>
      </c>
      <c r="U6" s="7">
        <f>$B6 * IFERROR(VLOOKUP("electricity|NOx|Asthma symptoms cough", US_national_yearly!$D:$AM, 29, FALSE) / VLOOKUP("electricity|NOx|Asthma symptoms cough", US_national_yearly!$D:$AM, 10, FALSE), 1)</f>
        <v>2.6550637255314057E-5</v>
      </c>
      <c r="V6" s="7">
        <f>$B6 * IFERROR(VLOOKUP("electricity|NOx|Asthma symptoms cough", US_national_yearly!$D:$AM, 30, FALSE) / VLOOKUP("electricity|NOx|Asthma symptoms cough", US_national_yearly!$D:$AM, 10, FALSE), 1)</f>
        <v>2.6684438101826271E-5</v>
      </c>
      <c r="W6" s="7">
        <f>$B6 * IFERROR(VLOOKUP("electricity|NOx|Asthma symptoms cough", US_national_yearly!$D:$AM, 31, FALSE) / VLOOKUP("electricity|NOx|Asthma symptoms cough", US_national_yearly!$D:$AM, 10, FALSE), 1)</f>
        <v>2.6818238948338485E-5</v>
      </c>
      <c r="X6" s="7">
        <f>$B6 * IFERROR(VLOOKUP("electricity|NOx|Asthma symptoms cough", US_national_yearly!$D:$AM, 32, FALSE) / VLOOKUP("electricity|NOx|Asthma symptoms cough", US_national_yearly!$D:$AM, 10, FALSE), 1)</f>
        <v>2.6941510561374217E-5</v>
      </c>
      <c r="Y6" s="7">
        <f>$B6 * IFERROR(VLOOKUP("electricity|NOx|Asthma symptoms cough", US_national_yearly!$D:$AM, 33, FALSE) / VLOOKUP("electricity|NOx|Asthma symptoms cough", US_national_yearly!$D:$AM, 10, FALSE), 1)</f>
        <v>2.7064782174409952E-5</v>
      </c>
      <c r="Z6" s="7">
        <f>$B6 * IFERROR(VLOOKUP("electricity|NOx|Asthma symptoms cough", US_national_yearly!$D:$AM, 34, FALSE) / VLOOKUP("electricity|NOx|Asthma symptoms cough", US_national_yearly!$D:$AM, 10, FALSE), 1)</f>
        <v>2.7188053787445687E-5</v>
      </c>
      <c r="AA6" s="7">
        <f>$B6 * IFERROR(VLOOKUP("electricity|NOx|Asthma symptoms cough", US_national_yearly!$D:$AM, 35, FALSE) / VLOOKUP("electricity|NOx|Asthma symptoms cough", US_national_yearly!$D:$AM, 10, FALSE), 1)</f>
        <v>2.7311325400481418E-5</v>
      </c>
      <c r="AB6" s="7">
        <f>$B6 * IFERROR(VLOOKUP("electricity|NOx|Asthma symptoms cough", US_national_yearly!$D:$AM, 36, FALSE) / VLOOKUP("electricity|NOx|Asthma symptoms cough", US_national_yearly!$D:$AM, 10, FALSE), 1)</f>
        <v>2.7434597013517153E-5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3.1413555319252407E-5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3.1844823567484956E-5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3.2276091815717519E-5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3.2707360063950068E-5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3.3138628312182617E-5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3.348927226435792E-5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3.383991621653321E-5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3.397026391209363E-5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3.4100611607654037E-5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3.423095930321445E-5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3.4361306998774857E-5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3.449165469433527E-5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3.46360788555514E-5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3.4780503016767544E-5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3.4924927177983674E-5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3.5069351339199811E-5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3.5213775500415949E-5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3.5393957941713554E-5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3.5574140383011153E-5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3.5754322824308759E-5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3.5934505265606357E-5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3.6114687706903963E-5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3.6280690992720723E-5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3.6446694278537489E-5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3.6612697564354249E-5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3.6778700850171009E-5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3.6944704135987775E-5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4.7994472449402057E-5</v>
      </c>
      <c r="C8" s="7">
        <f>$B8 * IFERROR(VLOOKUP("electricity|NOx|Asthma symptoms wheeze", US_national_yearly!$D:$AM, 11, FALSE) / VLOOKUP("electricity|NOx|Asthma symptoms wheeze", US_national_yearly!$D:$AM, 10, FALSE), 1)</f>
        <v>4.8653375648386749E-5</v>
      </c>
      <c r="D8" s="7">
        <f>$B8 * IFERROR(VLOOKUP("electricity|NOx|Asthma symptoms wheeze", US_national_yearly!$D:$AM, 12, FALSE) / VLOOKUP("electricity|NOx|Asthma symptoms wheeze", US_national_yearly!$D:$AM, 10, FALSE), 1)</f>
        <v>4.9312278847371434E-5</v>
      </c>
      <c r="E8" s="7">
        <f>$B8 * IFERROR(VLOOKUP("electricity|NOx|Asthma symptoms wheeze", US_national_yearly!$D:$AM, 13, FALSE) / VLOOKUP("electricity|NOx|Asthma symptoms wheeze", US_national_yearly!$D:$AM, 10, FALSE), 1)</f>
        <v>4.9971182046356125E-5</v>
      </c>
      <c r="F8" s="7">
        <f>$B8 * IFERROR(VLOOKUP("electricity|NOx|Asthma symptoms wheeze", US_national_yearly!$D:$AM, 14, FALSE) / VLOOKUP("electricity|NOx|Asthma symptoms wheeze", US_national_yearly!$D:$AM, 10, FALSE), 1)</f>
        <v>5.0630085245340824E-5</v>
      </c>
      <c r="G8" s="7">
        <f>$B8 * IFERROR(VLOOKUP("electricity|NOx|Asthma symptoms wheeze", US_national_yearly!$D:$AM, 15, FALSE) / VLOOKUP("electricity|NOx|Asthma symptoms wheeze", US_national_yearly!$D:$AM, 10, FALSE), 1)</f>
        <v>5.1165808482520361E-5</v>
      </c>
      <c r="H8" s="7">
        <f>$B8 * IFERROR(VLOOKUP("electricity|NOx|Asthma symptoms wheeze", US_national_yearly!$D:$AM, 16, FALSE) / VLOOKUP("electricity|NOx|Asthma symptoms wheeze", US_national_yearly!$D:$AM, 10, FALSE), 1)</f>
        <v>5.1701531719699905E-5</v>
      </c>
      <c r="I8" s="7">
        <f>$B8 * IFERROR(VLOOKUP("electricity|NOx|Asthma symptoms wheeze", US_national_yearly!$D:$AM, 17, FALSE) / VLOOKUP("electricity|NOx|Asthma symptoms wheeze", US_national_yearly!$D:$AM, 10, FALSE), 1)</f>
        <v>5.1900680426933203E-5</v>
      </c>
      <c r="J8" s="7">
        <f>$B8 * IFERROR(VLOOKUP("electricity|NOx|Asthma symptoms wheeze", US_national_yearly!$D:$AM, 18, FALSE) / VLOOKUP("electricity|NOx|Asthma symptoms wheeze", US_national_yearly!$D:$AM, 10, FALSE), 1)</f>
        <v>5.2099829134166507E-5</v>
      </c>
      <c r="K8" s="7">
        <f>$B8 * IFERROR(VLOOKUP("electricity|NOx|Asthma symptoms wheeze", US_national_yearly!$D:$AM, 19, FALSE) / VLOOKUP("electricity|NOx|Asthma symptoms wheeze", US_national_yearly!$D:$AM, 10, FALSE), 1)</f>
        <v>5.2298977841399825E-5</v>
      </c>
      <c r="L8" s="7">
        <f>$B8 * IFERROR(VLOOKUP("electricity|NOx|Asthma symptoms wheeze", US_national_yearly!$D:$AM, 20, FALSE) / VLOOKUP("electricity|NOx|Asthma symptoms wheeze", US_national_yearly!$D:$AM, 10, FALSE), 1)</f>
        <v>5.2498126548633129E-5</v>
      </c>
      <c r="M8" s="7">
        <f>$B8 * IFERROR(VLOOKUP("electricity|NOx|Asthma symptoms wheeze", US_national_yearly!$D:$AM, 21, FALSE) / VLOOKUP("electricity|NOx|Asthma symptoms wheeze", US_national_yearly!$D:$AM, 10, FALSE), 1)</f>
        <v>5.2697275255866427E-5</v>
      </c>
      <c r="N8" s="7">
        <f>$B8 * IFERROR(VLOOKUP("electricity|NOx|Asthma symptoms wheeze", US_national_yearly!$D:$AM, 22, FALSE) / VLOOKUP("electricity|NOx|Asthma symptoms wheeze", US_national_yearly!$D:$AM, 10, FALSE), 1)</f>
        <v>5.291793036469139E-5</v>
      </c>
      <c r="O8" s="7">
        <f>$B8 * IFERROR(VLOOKUP("electricity|NOx|Asthma symptoms wheeze", US_national_yearly!$D:$AM, 23, FALSE) / VLOOKUP("electricity|NOx|Asthma symptoms wheeze", US_national_yearly!$D:$AM, 10, FALSE), 1)</f>
        <v>5.3138585473516366E-5</v>
      </c>
      <c r="P8" s="7">
        <f>$B8 * IFERROR(VLOOKUP("electricity|NOx|Asthma symptoms wheeze", US_national_yearly!$D:$AM, 24, FALSE) / VLOOKUP("electricity|NOx|Asthma symptoms wheeze", US_national_yearly!$D:$AM, 10, FALSE), 1)</f>
        <v>5.3359240582341336E-5</v>
      </c>
      <c r="Q8" s="7">
        <f>$B8 * IFERROR(VLOOKUP("electricity|NOx|Asthma symptoms wheeze", US_national_yearly!$D:$AM, 25, FALSE) / VLOOKUP("electricity|NOx|Asthma symptoms wheeze", US_national_yearly!$D:$AM, 10, FALSE), 1)</f>
        <v>5.3579895691166299E-5</v>
      </c>
      <c r="R8" s="7">
        <f>$B8 * IFERROR(VLOOKUP("electricity|NOx|Asthma symptoms wheeze", US_national_yearly!$D:$AM, 26, FALSE) / VLOOKUP("electricity|NOx|Asthma symptoms wheeze", US_national_yearly!$D:$AM, 10, FALSE), 1)</f>
        <v>5.3800550799991263E-5</v>
      </c>
      <c r="S8" s="7">
        <f>$B8 * IFERROR(VLOOKUP("electricity|NOx|Asthma symptoms wheeze", US_national_yearly!$D:$AM, 27, FALSE) / VLOOKUP("electricity|NOx|Asthma symptoms wheeze", US_national_yearly!$D:$AM, 10, FALSE), 1)</f>
        <v>5.4075838367997224E-5</v>
      </c>
      <c r="T8" s="7">
        <f>$B8 * IFERROR(VLOOKUP("electricity|NOx|Asthma symptoms wheeze", US_national_yearly!$D:$AM, 28, FALSE) / VLOOKUP("electricity|NOx|Asthma symptoms wheeze", US_national_yearly!$D:$AM, 10, FALSE), 1)</f>
        <v>5.4351125936003191E-5</v>
      </c>
      <c r="U8" s="7">
        <f>$B8 * IFERROR(VLOOKUP("electricity|NOx|Asthma symptoms wheeze", US_national_yearly!$D:$AM, 29, FALSE) / VLOOKUP("electricity|NOx|Asthma symptoms wheeze", US_national_yearly!$D:$AM, 10, FALSE), 1)</f>
        <v>5.4626413504009139E-5</v>
      </c>
      <c r="V8" s="7">
        <f>$B8 * IFERROR(VLOOKUP("electricity|NOx|Asthma symptoms wheeze", US_national_yearly!$D:$AM, 30, FALSE) / VLOOKUP("electricity|NOx|Asthma symptoms wheeze", US_national_yearly!$D:$AM, 10, FALSE), 1)</f>
        <v>5.4901701072015106E-5</v>
      </c>
      <c r="W8" s="7">
        <f>$B8 * IFERROR(VLOOKUP("electricity|NOx|Asthma symptoms wheeze", US_national_yearly!$D:$AM, 31, FALSE) / VLOOKUP("electricity|NOx|Asthma symptoms wheeze", US_national_yearly!$D:$AM, 10, FALSE), 1)</f>
        <v>5.5176988640021067E-5</v>
      </c>
      <c r="X8" s="7">
        <f>$B8 * IFERROR(VLOOKUP("electricity|NOx|Asthma symptoms wheeze", US_national_yearly!$D:$AM, 32, FALSE) / VLOOKUP("electricity|NOx|Asthma symptoms wheeze", US_national_yearly!$D:$AM, 10, FALSE), 1)</f>
        <v>5.5430612913975517E-5</v>
      </c>
      <c r="Y8" s="7">
        <f>$B8 * IFERROR(VLOOKUP("electricity|NOx|Asthma symptoms wheeze", US_national_yearly!$D:$AM, 33, FALSE) / VLOOKUP("electricity|NOx|Asthma symptoms wheeze", US_national_yearly!$D:$AM, 10, FALSE), 1)</f>
        <v>5.5684237187929979E-5</v>
      </c>
      <c r="Z8" s="7">
        <f>$B8 * IFERROR(VLOOKUP("electricity|NOx|Asthma symptoms wheeze", US_national_yearly!$D:$AM, 34, FALSE) / VLOOKUP("electricity|NOx|Asthma symptoms wheeze", US_national_yearly!$D:$AM, 10, FALSE), 1)</f>
        <v>5.5937861461884422E-5</v>
      </c>
      <c r="AA8" s="7">
        <f>$B8 * IFERROR(VLOOKUP("electricity|NOx|Asthma symptoms wheeze", US_national_yearly!$D:$AM, 35, FALSE) / VLOOKUP("electricity|NOx|Asthma symptoms wheeze", US_national_yearly!$D:$AM, 10, FALSE), 1)</f>
        <v>5.6191485735838885E-5</v>
      </c>
      <c r="AB8" s="7">
        <f>$B8 * IFERROR(VLOOKUP("electricity|NOx|Asthma symptoms wheeze", US_national_yearly!$D:$AM, 36, FALSE) / VLOOKUP("electricity|NOx|Asthma symptoms wheeze", US_national_yearly!$D:$AM, 10, FALSE), 1)</f>
        <v>5.6445110009793341E-5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4.4734108371213135E-7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4.5879823603170483E-7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4.7025538835127841E-7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4.8171254067085194E-7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4.9316969299042531E-7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5.0419896976349056E-7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5.1522824653655602E-7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5.2471251720066456E-7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5.3419678786477299E-7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5.4368105852888174E-7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5.5316532919299028E-7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5.6264959985709882E-7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5.6914928963806849E-7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5.7564897941903805E-7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5.8214866920000772E-7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5.8864835898097728E-7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5.9514804876194694E-7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5.9884982945305167E-7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6.0255161014415651E-7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6.0625339083526124E-7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6.0995517152636596E-7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6.1365695221747069E-7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6.1634942608799451E-7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6.1904189995851833E-7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6.2173437382904226E-7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6.2442684769956619E-7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6.2711932157008991E-7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6.7184147502240811E-7</v>
      </c>
      <c r="C13" s="7">
        <f>$B13 * IFERROR(VLOOKUP("electricity|NOx|Non-fatal heart attacks", US_national_yearly!$D:$AM, 11, FALSE) / VLOOKUP("electricity|NOx|Non-fatal heart attacks", US_national_yearly!$D:$AM, 10, FALSE), 1)</f>
        <v>6.911214744662404E-7</v>
      </c>
      <c r="D13" s="7">
        <f>$B13 * IFERROR(VLOOKUP("electricity|NOx|Non-fatal heart attacks", US_national_yearly!$D:$AM, 12, FALSE) / VLOOKUP("electricity|NOx|Non-fatal heart attacks", US_national_yearly!$D:$AM, 10, FALSE), 1)</f>
        <v>7.1040147391007259E-7</v>
      </c>
      <c r="E13" s="7">
        <f>$B13 * IFERROR(VLOOKUP("electricity|NOx|Non-fatal heart attacks", US_national_yearly!$D:$AM, 13, FALSE) / VLOOKUP("electricity|NOx|Non-fatal heart attacks", US_national_yearly!$D:$AM, 10, FALSE), 1)</f>
        <v>7.2968147335390487E-7</v>
      </c>
      <c r="F13" s="7">
        <f>$B13 * IFERROR(VLOOKUP("electricity|NOx|Non-fatal heart attacks", US_national_yearly!$D:$AM, 14, FALSE) / VLOOKUP("electricity|NOx|Non-fatal heart attacks", US_national_yearly!$D:$AM, 10, FALSE), 1)</f>
        <v>7.4896147279773727E-7</v>
      </c>
      <c r="G13" s="7">
        <f>$B13 * IFERROR(VLOOKUP("electricity|NOx|Non-fatal heart attacks", US_national_yearly!$D:$AM, 15, FALSE) / VLOOKUP("electricity|NOx|Non-fatal heart attacks", US_national_yearly!$D:$AM, 10, FALSE), 1)</f>
        <v>7.6712397201551157E-7</v>
      </c>
      <c r="H13" s="7">
        <f>$B13 * IFERROR(VLOOKUP("electricity|NOx|Non-fatal heart attacks", US_national_yearly!$D:$AM, 16, FALSE) / VLOOKUP("electricity|NOx|Non-fatal heart attacks", US_national_yearly!$D:$AM, 10, FALSE), 1)</f>
        <v>7.8528647123328597E-7</v>
      </c>
      <c r="I13" s="7">
        <f>$B13 * IFERROR(VLOOKUP("electricity|NOx|Non-fatal heart attacks", US_national_yearly!$D:$AM, 17, FALSE) / VLOOKUP("electricity|NOx|Non-fatal heart attacks", US_national_yearly!$D:$AM, 10, FALSE), 1)</f>
        <v>7.9985095811833562E-7</v>
      </c>
      <c r="J13" s="7">
        <f>$B13 * IFERROR(VLOOKUP("electricity|NOx|Non-fatal heart attacks", US_national_yearly!$D:$AM, 18, FALSE) / VLOOKUP("electricity|NOx|Non-fatal heart attacks", US_national_yearly!$D:$AM, 10, FALSE), 1)</f>
        <v>8.1441544500338528E-7</v>
      </c>
      <c r="K13" s="7">
        <f>$B13 * IFERROR(VLOOKUP("electricity|NOx|Non-fatal heart attacks", US_national_yearly!$D:$AM, 19, FALSE) / VLOOKUP("electricity|NOx|Non-fatal heart attacks", US_national_yearly!$D:$AM, 10, FALSE), 1)</f>
        <v>8.2897993188843408E-7</v>
      </c>
      <c r="L13" s="7">
        <f>$B13 * IFERROR(VLOOKUP("electricity|NOx|Non-fatal heart attacks", US_national_yearly!$D:$AM, 20, FALSE) / VLOOKUP("electricity|NOx|Non-fatal heart attacks", US_national_yearly!$D:$AM, 10, FALSE), 1)</f>
        <v>8.4354441877348373E-7</v>
      </c>
      <c r="M13" s="7">
        <f>$B13 * IFERROR(VLOOKUP("electricity|NOx|Non-fatal heart attacks", US_national_yearly!$D:$AM, 21, FALSE) / VLOOKUP("electricity|NOx|Non-fatal heart attacks", US_national_yearly!$D:$AM, 10, FALSE), 1)</f>
        <v>8.581089056585336E-7</v>
      </c>
      <c r="N13" s="7">
        <f>$B13 * IFERROR(VLOOKUP("electricity|NOx|Non-fatal heart attacks", US_national_yearly!$D:$AM, 22, FALSE) / VLOOKUP("electricity|NOx|Non-fatal heart attacks", US_national_yearly!$D:$AM, 10, FALSE), 1)</f>
        <v>8.6709112733342163E-7</v>
      </c>
      <c r="O13" s="7">
        <f>$B13 * IFERROR(VLOOKUP("electricity|NOx|Non-fatal heart attacks", US_national_yearly!$D:$AM, 23, FALSE) / VLOOKUP("electricity|NOx|Non-fatal heart attacks", US_national_yearly!$D:$AM, 10, FALSE), 1)</f>
        <v>8.7607334900830998E-7</v>
      </c>
      <c r="P13" s="7">
        <f>$B13 * IFERROR(VLOOKUP("electricity|NOx|Non-fatal heart attacks", US_national_yearly!$D:$AM, 24, FALSE) / VLOOKUP("electricity|NOx|Non-fatal heart attacks", US_national_yearly!$D:$AM, 10, FALSE), 1)</f>
        <v>8.8505557068319823E-7</v>
      </c>
      <c r="Q13" s="7">
        <f>$B13 * IFERROR(VLOOKUP("electricity|NOx|Non-fatal heart attacks", US_national_yearly!$D:$AM, 25, FALSE) / VLOOKUP("electricity|NOx|Non-fatal heart attacks", US_national_yearly!$D:$AM, 10, FALSE), 1)</f>
        <v>8.9403779235808648E-7</v>
      </c>
      <c r="R13" s="7">
        <f>$B13 * IFERROR(VLOOKUP("electricity|NOx|Non-fatal heart attacks", US_national_yearly!$D:$AM, 26, FALSE) / VLOOKUP("electricity|NOx|Non-fatal heart attacks", US_national_yearly!$D:$AM, 10, FALSE), 1)</f>
        <v>9.0302001403297462E-7</v>
      </c>
      <c r="S13" s="7">
        <f>$B13 * IFERROR(VLOOKUP("electricity|NOx|Non-fatal heart attacks", US_national_yearly!$D:$AM, 27, FALSE) / VLOOKUP("electricity|NOx|Non-fatal heart attacks", US_national_yearly!$D:$AM, 10, FALSE), 1)</f>
        <v>9.0740869761890006E-7</v>
      </c>
      <c r="T13" s="7">
        <f>$B13 * IFERROR(VLOOKUP("electricity|NOx|Non-fatal heart attacks", US_national_yearly!$D:$AM, 28, FALSE) / VLOOKUP("electricity|NOx|Non-fatal heart attacks", US_national_yearly!$D:$AM, 10, FALSE), 1)</f>
        <v>9.1179738120482519E-7</v>
      </c>
      <c r="U13" s="7">
        <f>$B13 * IFERROR(VLOOKUP("electricity|NOx|Non-fatal heart attacks", US_national_yearly!$D:$AM, 29, FALSE) / VLOOKUP("electricity|NOx|Non-fatal heart attacks", US_national_yearly!$D:$AM, 10, FALSE), 1)</f>
        <v>9.1618606479075075E-7</v>
      </c>
      <c r="V13" s="7">
        <f>$B13 * IFERROR(VLOOKUP("electricity|NOx|Non-fatal heart attacks", US_national_yearly!$D:$AM, 30, FALSE) / VLOOKUP("electricity|NOx|Non-fatal heart attacks", US_national_yearly!$D:$AM, 10, FALSE), 1)</f>
        <v>9.2057474837667598E-7</v>
      </c>
      <c r="W13" s="7">
        <f>$B13 * IFERROR(VLOOKUP("electricity|NOx|Non-fatal heart attacks", US_national_yearly!$D:$AM, 31, FALSE) / VLOOKUP("electricity|NOx|Non-fatal heart attacks", US_national_yearly!$D:$AM, 10, FALSE), 1)</f>
        <v>9.2496343196260143E-7</v>
      </c>
      <c r="X13" s="7">
        <f>$B13 * IFERROR(VLOOKUP("electricity|NOx|Non-fatal heart attacks", US_national_yearly!$D:$AM, 32, FALSE) / VLOOKUP("electricity|NOx|Non-fatal heart attacks", US_national_yearly!$D:$AM, 10, FALSE), 1)</f>
        <v>9.280266164757542E-7</v>
      </c>
      <c r="Y13" s="7">
        <f>$B13 * IFERROR(VLOOKUP("electricity|NOx|Non-fatal heart attacks", US_national_yearly!$D:$AM, 33, FALSE) / VLOOKUP("electricity|NOx|Non-fatal heart attacks", US_national_yearly!$D:$AM, 10, FALSE), 1)</f>
        <v>9.3108980098890739E-7</v>
      </c>
      <c r="Z13" s="7">
        <f>$B13 * IFERROR(VLOOKUP("electricity|NOx|Non-fatal heart attacks", US_national_yearly!$D:$AM, 34, FALSE) / VLOOKUP("electricity|NOx|Non-fatal heart attacks", US_national_yearly!$D:$AM, 10, FALSE), 1)</f>
        <v>9.3415298550206016E-7</v>
      </c>
      <c r="AA13" s="7">
        <f>$B13 * IFERROR(VLOOKUP("electricity|NOx|Non-fatal heart attacks", US_national_yearly!$D:$AM, 35, FALSE) / VLOOKUP("electricity|NOx|Non-fatal heart attacks", US_national_yearly!$D:$AM, 10, FALSE), 1)</f>
        <v>9.3721617001521292E-7</v>
      </c>
      <c r="AB13" s="7">
        <f>$B13 * IFERROR(VLOOKUP("electricity|NOx|Non-fatal heart attacks", US_national_yearly!$D:$AM, 36, FALSE) / VLOOKUP("electricity|NOx|Non-fatal heart attacks", US_national_yearly!$D:$AM, 10, FALSE), 1)</f>
        <v>9.4027935452836601E-7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2.6506718299193319E-3</v>
      </c>
      <c r="C14" s="7">
        <f>$B14 * IFERROR(VLOOKUP("electricity|NOx|Minor restricted activity days", US_national_yearly!$D:$AM, 11, FALSE) / VLOOKUP("electricity|NOx|Minor restricted activity days", US_national_yearly!$D:$AM, 10, FALSE), 1)</f>
        <v>2.6547358885832296E-3</v>
      </c>
      <c r="D14" s="7">
        <f>$B14 * IFERROR(VLOOKUP("electricity|NOx|Minor restricted activity days", US_national_yearly!$D:$AM, 12, FALSE) / VLOOKUP("electricity|NOx|Minor restricted activity days", US_national_yearly!$D:$AM, 10, FALSE), 1)</f>
        <v>2.6587999472471278E-3</v>
      </c>
      <c r="E14" s="7">
        <f>$B14 * IFERROR(VLOOKUP("electricity|NOx|Minor restricted activity days", US_national_yearly!$D:$AM, 13, FALSE) / VLOOKUP("electricity|NOx|Minor restricted activity days", US_national_yearly!$D:$AM, 10, FALSE), 1)</f>
        <v>2.6628640059110256E-3</v>
      </c>
      <c r="F14" s="7">
        <f>$B14 * IFERROR(VLOOKUP("electricity|NOx|Minor restricted activity days", US_national_yearly!$D:$AM, 14, FALSE) / VLOOKUP("electricity|NOx|Minor restricted activity days", US_national_yearly!$D:$AM, 10, FALSE), 1)</f>
        <v>2.6669280645749242E-3</v>
      </c>
      <c r="G14" s="7">
        <f>$B14 * IFERROR(VLOOKUP("electricity|NOx|Minor restricted activity days", US_national_yearly!$D:$AM, 15, FALSE) / VLOOKUP("electricity|NOx|Minor restricted activity days", US_national_yearly!$D:$AM, 10, FALSE), 1)</f>
        <v>2.674017203101179E-3</v>
      </c>
      <c r="H14" s="7">
        <f>$B14 * IFERROR(VLOOKUP("electricity|NOx|Minor restricted activity days", US_national_yearly!$D:$AM, 16, FALSE) / VLOOKUP("electricity|NOx|Minor restricted activity days", US_national_yearly!$D:$AM, 10, FALSE), 1)</f>
        <v>2.6811063416274329E-3</v>
      </c>
      <c r="I14" s="7">
        <f>$B14 * IFERROR(VLOOKUP("electricity|NOx|Minor restricted activity days", US_national_yearly!$D:$AM, 17, FALSE) / VLOOKUP("electricity|NOx|Minor restricted activity days", US_national_yearly!$D:$AM, 10, FALSE), 1)</f>
        <v>2.6951321541929243E-3</v>
      </c>
      <c r="J14" s="7">
        <f>$B14 * IFERROR(VLOOKUP("electricity|NOx|Minor restricted activity days", US_national_yearly!$D:$AM, 18, FALSE) / VLOOKUP("electricity|NOx|Minor restricted activity days", US_national_yearly!$D:$AM, 10, FALSE), 1)</f>
        <v>2.7091579667584144E-3</v>
      </c>
      <c r="K14" s="7">
        <f>$B14 * IFERROR(VLOOKUP("electricity|NOx|Minor restricted activity days", US_national_yearly!$D:$AM, 19, FALSE) / VLOOKUP("electricity|NOx|Minor restricted activity days", US_national_yearly!$D:$AM, 10, FALSE), 1)</f>
        <v>2.7231837793239063E-3</v>
      </c>
      <c r="L14" s="7">
        <f>$B14 * IFERROR(VLOOKUP("electricity|NOx|Minor restricted activity days", US_national_yearly!$D:$AM, 20, FALSE) / VLOOKUP("electricity|NOx|Minor restricted activity days", US_national_yearly!$D:$AM, 10, FALSE), 1)</f>
        <v>2.7372095918893964E-3</v>
      </c>
      <c r="M14" s="7">
        <f>$B14 * IFERROR(VLOOKUP("electricity|NOx|Minor restricted activity days", US_national_yearly!$D:$AM, 21, FALSE) / VLOOKUP("electricity|NOx|Minor restricted activity days", US_national_yearly!$D:$AM, 10, FALSE), 1)</f>
        <v>2.7512354044548879E-3</v>
      </c>
      <c r="N14" s="7">
        <f>$B14 * IFERROR(VLOOKUP("electricity|NOx|Minor restricted activity days", US_national_yearly!$D:$AM, 22, FALSE) / VLOOKUP("electricity|NOx|Minor restricted activity days", US_national_yearly!$D:$AM, 10, FALSE), 1)</f>
        <v>2.7715179078783149E-3</v>
      </c>
      <c r="O14" s="7">
        <f>$B14 * IFERROR(VLOOKUP("electricity|NOx|Minor restricted activity days", US_national_yearly!$D:$AM, 23, FALSE) / VLOOKUP("electricity|NOx|Minor restricted activity days", US_national_yearly!$D:$AM, 10, FALSE), 1)</f>
        <v>2.7918004113017415E-3</v>
      </c>
      <c r="P14" s="7">
        <f>$B14 * IFERROR(VLOOKUP("electricity|NOx|Minor restricted activity days", US_national_yearly!$D:$AM, 24, FALSE) / VLOOKUP("electricity|NOx|Minor restricted activity days", US_national_yearly!$D:$AM, 10, FALSE), 1)</f>
        <v>2.812082914725168E-3</v>
      </c>
      <c r="Q14" s="7">
        <f>$B14 * IFERROR(VLOOKUP("electricity|NOx|Minor restricted activity days", US_national_yearly!$D:$AM, 25, FALSE) / VLOOKUP("electricity|NOx|Minor restricted activity days", US_national_yearly!$D:$AM, 10, FALSE), 1)</f>
        <v>2.8323654181485951E-3</v>
      </c>
      <c r="R14" s="7">
        <f>$B14 * IFERROR(VLOOKUP("electricity|NOx|Minor restricted activity days", US_national_yearly!$D:$AM, 26, FALSE) / VLOOKUP("electricity|NOx|Minor restricted activity days", US_national_yearly!$D:$AM, 10, FALSE), 1)</f>
        <v>2.8526479215720221E-3</v>
      </c>
      <c r="S14" s="7">
        <f>$B14 * IFERROR(VLOOKUP("electricity|NOx|Minor restricted activity days", US_national_yearly!$D:$AM, 27, FALSE) / VLOOKUP("electricity|NOx|Minor restricted activity days", US_national_yearly!$D:$AM, 10, FALSE), 1)</f>
        <v>2.8730838078256404E-3</v>
      </c>
      <c r="T14" s="7">
        <f>$B14 * IFERROR(VLOOKUP("electricity|NOx|Minor restricted activity days", US_national_yearly!$D:$AM, 28, FALSE) / VLOOKUP("electricity|NOx|Minor restricted activity days", US_national_yearly!$D:$AM, 10, FALSE), 1)</f>
        <v>2.8935196940792587E-3</v>
      </c>
      <c r="U14" s="7">
        <f>$B14 * IFERROR(VLOOKUP("electricity|NOx|Minor restricted activity days", US_national_yearly!$D:$AM, 29, FALSE) / VLOOKUP("electricity|NOx|Minor restricted activity days", US_national_yearly!$D:$AM, 10, FALSE), 1)</f>
        <v>2.9139555803328779E-3</v>
      </c>
      <c r="V14" s="7">
        <f>$B14 * IFERROR(VLOOKUP("electricity|NOx|Minor restricted activity days", US_national_yearly!$D:$AM, 30, FALSE) / VLOOKUP("electricity|NOx|Minor restricted activity days", US_national_yearly!$D:$AM, 10, FALSE), 1)</f>
        <v>2.9343914665864962E-3</v>
      </c>
      <c r="W14" s="7">
        <f>$B14 * IFERROR(VLOOKUP("electricity|NOx|Minor restricted activity days", US_national_yearly!$D:$AM, 31, FALSE) / VLOOKUP("electricity|NOx|Minor restricted activity days", US_national_yearly!$D:$AM, 10, FALSE), 1)</f>
        <v>2.9548273528401149E-3</v>
      </c>
      <c r="X14" s="7">
        <f>$B14 * IFERROR(VLOOKUP("electricity|NOx|Minor restricted activity days", US_national_yearly!$D:$AM, 32, FALSE) / VLOOKUP("electricity|NOx|Minor restricted activity days", US_national_yearly!$D:$AM, 10, FALSE), 1)</f>
        <v>2.9721100563925183E-3</v>
      </c>
      <c r="Y14" s="7">
        <f>$B14 * IFERROR(VLOOKUP("electricity|NOx|Minor restricted activity days", US_national_yearly!$D:$AM, 33, FALSE) / VLOOKUP("electricity|NOx|Minor restricted activity days", US_national_yearly!$D:$AM, 10, FALSE), 1)</f>
        <v>2.9893927599449204E-3</v>
      </c>
      <c r="Z14" s="7">
        <f>$B14 * IFERROR(VLOOKUP("electricity|NOx|Minor restricted activity days", US_national_yearly!$D:$AM, 34, FALSE) / VLOOKUP("electricity|NOx|Minor restricted activity days", US_national_yearly!$D:$AM, 10, FALSE), 1)</f>
        <v>3.0066754634973263E-3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3.0239581670497293E-3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3.0412408706021322E-3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4.4745716364241479E-4</v>
      </c>
      <c r="C15" s="7">
        <f>$B15 * IFERROR(VLOOKUP("electricity|NOx|Work loss days", US_national_yearly!$D:$AM, 11, FALSE) / VLOOKUP("electricity|NOx|Work loss days", US_national_yearly!$D:$AM, 10, FALSE), 1)</f>
        <v>4.4845515303868969E-4</v>
      </c>
      <c r="D15" s="7">
        <f>$B15 * IFERROR(VLOOKUP("electricity|NOx|Work loss days", US_national_yearly!$D:$AM, 12, FALSE) / VLOOKUP("electricity|NOx|Work loss days", US_national_yearly!$D:$AM, 10, FALSE), 1)</f>
        <v>4.4945314243496464E-4</v>
      </c>
      <c r="E15" s="7">
        <f>$B15 * IFERROR(VLOOKUP("electricity|NOx|Work loss days", US_national_yearly!$D:$AM, 13, FALSE) / VLOOKUP("electricity|NOx|Work loss days", US_national_yearly!$D:$AM, 10, FALSE), 1)</f>
        <v>4.5045113183123954E-4</v>
      </c>
      <c r="F15" s="7">
        <f>$B15 * IFERROR(VLOOKUP("electricity|NOx|Work loss days", US_national_yearly!$D:$AM, 14, FALSE) / VLOOKUP("electricity|NOx|Work loss days", US_national_yearly!$D:$AM, 10, FALSE), 1)</f>
        <v>4.5144912122751444E-4</v>
      </c>
      <c r="G15" s="7">
        <f>$B15 * IFERROR(VLOOKUP("electricity|NOx|Work loss days", US_national_yearly!$D:$AM, 15, FALSE) / VLOOKUP("electricity|NOx|Work loss days", US_national_yearly!$D:$AM, 10, FALSE), 1)</f>
        <v>4.5285605749534612E-4</v>
      </c>
      <c r="H15" s="7">
        <f>$B15 * IFERROR(VLOOKUP("electricity|NOx|Work loss days", US_national_yearly!$D:$AM, 16, FALSE) / VLOOKUP("electricity|NOx|Work loss days", US_national_yearly!$D:$AM, 10, FALSE), 1)</f>
        <v>4.5426299376317769E-4</v>
      </c>
      <c r="I15" s="7">
        <f>$B15 * IFERROR(VLOOKUP("electricity|NOx|Work loss days", US_national_yearly!$D:$AM, 17, FALSE) / VLOOKUP("electricity|NOx|Work loss days", US_national_yearly!$D:$AM, 10, FALSE), 1)</f>
        <v>4.5654748057356013E-4</v>
      </c>
      <c r="J15" s="7">
        <f>$B15 * IFERROR(VLOOKUP("electricity|NOx|Work loss days", US_national_yearly!$D:$AM, 18, FALSE) / VLOOKUP("electricity|NOx|Work loss days", US_national_yearly!$D:$AM, 10, FALSE), 1)</f>
        <v>4.5883196738394258E-4</v>
      </c>
      <c r="K15" s="7">
        <f>$B15 * IFERROR(VLOOKUP("electricity|NOx|Work loss days", US_national_yearly!$D:$AM, 19, FALSE) / VLOOKUP("electricity|NOx|Work loss days", US_national_yearly!$D:$AM, 10, FALSE), 1)</f>
        <v>4.6111645419432497E-4</v>
      </c>
      <c r="L15" s="7">
        <f>$B15 * IFERROR(VLOOKUP("electricity|NOx|Work loss days", US_national_yearly!$D:$AM, 20, FALSE) / VLOOKUP("electricity|NOx|Work loss days", US_national_yearly!$D:$AM, 10, FALSE), 1)</f>
        <v>4.634009410047073E-4</v>
      </c>
      <c r="M15" s="7">
        <f>$B15 * IFERROR(VLOOKUP("electricity|NOx|Work loss days", US_national_yearly!$D:$AM, 21, FALSE) / VLOOKUP("electricity|NOx|Work loss days", US_national_yearly!$D:$AM, 10, FALSE), 1)</f>
        <v>4.6568542781508964E-4</v>
      </c>
      <c r="N15" s="7">
        <f>$B15 * IFERROR(VLOOKUP("electricity|NOx|Work loss days", US_national_yearly!$D:$AM, 22, FALSE) / VLOOKUP("electricity|NOx|Work loss days", US_national_yearly!$D:$AM, 10, FALSE), 1)</f>
        <v>4.6869950903656864E-4</v>
      </c>
      <c r="O15" s="7">
        <f>$B15 * IFERROR(VLOOKUP("electricity|NOx|Work loss days", US_national_yearly!$D:$AM, 23, FALSE) / VLOOKUP("electricity|NOx|Work loss days", US_national_yearly!$D:$AM, 10, FALSE), 1)</f>
        <v>4.7171359025804748E-4</v>
      </c>
      <c r="P15" s="7">
        <f>$B15 * IFERROR(VLOOKUP("electricity|NOx|Work loss days", US_national_yearly!$D:$AM, 24, FALSE) / VLOOKUP("electricity|NOx|Work loss days", US_national_yearly!$D:$AM, 10, FALSE), 1)</f>
        <v>4.7472767147952648E-4</v>
      </c>
      <c r="Q15" s="7">
        <f>$B15 * IFERROR(VLOOKUP("electricity|NOx|Work loss days", US_national_yearly!$D:$AM, 25, FALSE) / VLOOKUP("electricity|NOx|Work loss days", US_national_yearly!$D:$AM, 10, FALSE), 1)</f>
        <v>4.7774175270100543E-4</v>
      </c>
      <c r="R15" s="7">
        <f>$B15 * IFERROR(VLOOKUP("electricity|NOx|Work loss days", US_national_yearly!$D:$AM, 26, FALSE) / VLOOKUP("electricity|NOx|Work loss days", US_national_yearly!$D:$AM, 10, FALSE), 1)</f>
        <v>4.8075583392248421E-4</v>
      </c>
      <c r="S15" s="7">
        <f>$B15 * IFERROR(VLOOKUP("electricity|NOx|Work loss days", US_national_yearly!$D:$AM, 27, FALSE) / VLOOKUP("electricity|NOx|Work loss days", US_national_yearly!$D:$AM, 10, FALSE), 1)</f>
        <v>4.8413349574467695E-4</v>
      </c>
      <c r="T15" s="7">
        <f>$B15 * IFERROR(VLOOKUP("electricity|NOx|Work loss days", US_national_yearly!$D:$AM, 28, FALSE) / VLOOKUP("electricity|NOx|Work loss days", US_national_yearly!$D:$AM, 10, FALSE), 1)</f>
        <v>4.8751115756686959E-4</v>
      </c>
      <c r="U15" s="7">
        <f>$B15 * IFERROR(VLOOKUP("electricity|NOx|Work loss days", US_national_yearly!$D:$AM, 29, FALSE) / VLOOKUP("electricity|NOx|Work loss days", US_national_yearly!$D:$AM, 10, FALSE), 1)</f>
        <v>4.9088881938906222E-4</v>
      </c>
      <c r="V15" s="7">
        <f>$B15 * IFERROR(VLOOKUP("electricity|NOx|Work loss days", US_national_yearly!$D:$AM, 30, FALSE) / VLOOKUP("electricity|NOx|Work loss days", US_national_yearly!$D:$AM, 10, FALSE), 1)</f>
        <v>4.9426648121125491E-4</v>
      </c>
      <c r="W15" s="7">
        <f>$B15 * IFERROR(VLOOKUP("electricity|NOx|Work loss days", US_national_yearly!$D:$AM, 31, FALSE) / VLOOKUP("electricity|NOx|Work loss days", US_national_yearly!$D:$AM, 10, FALSE), 1)</f>
        <v>4.976441430334476E-4</v>
      </c>
      <c r="X15" s="7">
        <f>$B15 * IFERROR(VLOOKUP("electricity|NOx|Work loss days", US_national_yearly!$D:$AM, 32, FALSE) / VLOOKUP("electricity|NOx|Work loss days", US_national_yearly!$D:$AM, 10, FALSE), 1)</f>
        <v>5.0058846546794365E-4</v>
      </c>
      <c r="Y15" s="7">
        <f>$B15 * IFERROR(VLOOKUP("electricity|NOx|Work loss days", US_national_yearly!$D:$AM, 33, FALSE) / VLOOKUP("electricity|NOx|Work loss days", US_national_yearly!$D:$AM, 10, FALSE), 1)</f>
        <v>5.0353278790243969E-4</v>
      </c>
      <c r="Z15" s="7">
        <f>$B15 * IFERROR(VLOOKUP("electricity|NOx|Work loss days", US_national_yearly!$D:$AM, 34, FALSE) / VLOOKUP("electricity|NOx|Work loss days", US_national_yearly!$D:$AM, 10, FALSE), 1)</f>
        <v>5.0647711033693563E-4</v>
      </c>
      <c r="AA15" s="7">
        <f>$B15 * IFERROR(VLOOKUP("electricity|NOx|Work loss days", US_national_yearly!$D:$AM, 35, FALSE) / VLOOKUP("electricity|NOx|Work loss days", US_national_yearly!$D:$AM, 10, FALSE), 1)</f>
        <v>5.0942143277143178E-4</v>
      </c>
      <c r="AB15" s="7">
        <f>$B15 * IFERROR(VLOOKUP("electricity|NOx|Work loss days", US_national_yearly!$D:$AM, 36, FALSE) / VLOOKUP("electricity|NOx|Work loss days", US_national_yearly!$D:$AM, 10, FALSE), 1)</f>
        <v>5.1236575520592772E-4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7.6425373122749369E-7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7.8676607321840543E-7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8.0927841520931727E-7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8.3179075720022901E-7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8.5430309919114086E-7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8.7586041458190838E-7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8.974177299726759E-7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9.1581800529800278E-7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9.3421828062332976E-7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9.5261855594865675E-7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9.7101883127398373E-7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9.8941910659931061E-7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1.0012278903731953E-6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1.0130366741470802E-6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1.0248454579209651E-6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1.03665424169485E-6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1.0484630254687347E-6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1.0542743360723606E-6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1.0600856466759863E-6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1.065896957279612E-6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1.071708267883238E-6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1.0775195784868639E-6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1.081002517666292E-6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1.0844854568457202E-6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1.0879683960251485E-6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1.0914513352045767E-6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1.0949342743840048E-6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9.0312554803092707E-5</v>
      </c>
      <c r="C2" s="7">
        <f>$B2 * IFERROR(VLOOKUP("electricity|SO2|Premature mortality", US_national_yearly!$D:$AM, 11, FALSE) / VLOOKUP("electricity|SO2|Premature mortality", US_national_yearly!$D:$AM, 10, FALSE), 1)</f>
        <v>9.1470382591362864E-5</v>
      </c>
      <c r="D2" s="7">
        <f>$B2 * IFERROR(VLOOKUP("electricity|SO2|Premature mortality", US_national_yearly!$D:$AM, 12, FALSE) / VLOOKUP("electricity|SO2|Premature mortality", US_national_yearly!$D:$AM, 10, FALSE), 1)</f>
        <v>9.2628210379632994E-5</v>
      </c>
      <c r="E2" s="7">
        <f>$B2 * IFERROR(VLOOKUP("electricity|SO2|Premature mortality", US_national_yearly!$D:$AM, 13, FALSE) / VLOOKUP("electricity|SO2|Premature mortality", US_national_yearly!$D:$AM, 10, FALSE), 1)</f>
        <v>9.378603816790315E-5</v>
      </c>
      <c r="F2" s="7">
        <f>$B2 * IFERROR(VLOOKUP("electricity|SO2|Premature mortality", US_national_yearly!$D:$AM, 14, FALSE) / VLOOKUP("electricity|SO2|Premature mortality", US_national_yearly!$D:$AM, 10, FALSE), 1)</f>
        <v>9.494386595617328E-5</v>
      </c>
      <c r="G2" s="7">
        <f>$B2 * IFERROR(VLOOKUP("electricity|SO2|Premature mortality", US_national_yearly!$D:$AM, 15, FALSE) / VLOOKUP("electricity|SO2|Premature mortality", US_national_yearly!$D:$AM, 10, FALSE), 1)</f>
        <v>9.7174306676029801E-5</v>
      </c>
      <c r="H2" s="7">
        <f>$B2 * IFERROR(VLOOKUP("electricity|SO2|Premature mortality", US_national_yearly!$D:$AM, 16, FALSE) / VLOOKUP("electricity|SO2|Premature mortality", US_national_yearly!$D:$AM, 10, FALSE), 1)</f>
        <v>9.9404747395886309E-5</v>
      </c>
      <c r="I2" s="7">
        <f>$B2 * IFERROR(VLOOKUP("electricity|SO2|Premature mortality", US_national_yearly!$D:$AM, 17, FALSE) / VLOOKUP("electricity|SO2|Premature mortality", US_national_yearly!$D:$AM, 10, FALSE), 1)</f>
        <v>1.009061420608729E-4</v>
      </c>
      <c r="J2" s="7">
        <f>$B2 * IFERROR(VLOOKUP("electricity|SO2|Premature mortality", US_national_yearly!$D:$AM, 18, FALSE) / VLOOKUP("electricity|SO2|Premature mortality", US_national_yearly!$D:$AM, 10, FALSE), 1)</f>
        <v>1.0240753672585949E-4</v>
      </c>
      <c r="K2" s="7">
        <f>$B2 * IFERROR(VLOOKUP("electricity|SO2|Premature mortality", US_national_yearly!$D:$AM, 19, FALSE) / VLOOKUP("electricity|SO2|Premature mortality", US_national_yearly!$D:$AM, 10, FALSE), 1)</f>
        <v>1.0390893139084605E-4</v>
      </c>
      <c r="L2" s="7">
        <f>$B2 * IFERROR(VLOOKUP("electricity|SO2|Premature mortality", US_national_yearly!$D:$AM, 20, FALSE) / VLOOKUP("electricity|SO2|Premature mortality", US_national_yearly!$D:$AM, 10, FALSE), 1)</f>
        <v>1.0541032605583265E-4</v>
      </c>
      <c r="M2" s="7">
        <f>$B2 * IFERROR(VLOOKUP("electricity|SO2|Premature mortality", US_national_yearly!$D:$AM, 21, FALSE) / VLOOKUP("electricity|SO2|Premature mortality", US_national_yearly!$D:$AM, 10, FALSE), 1)</f>
        <v>1.0691172072081923E-4</v>
      </c>
      <c r="N2" s="7">
        <f>$B2 * IFERROR(VLOOKUP("electricity|SO2|Premature mortality", US_national_yearly!$D:$AM, 22, FALSE) / VLOOKUP("electricity|SO2|Premature mortality", US_national_yearly!$D:$AM, 10, FALSE), 1)</f>
        <v>1.0811496887710541E-4</v>
      </c>
      <c r="O2" s="7">
        <f>$B2 * IFERROR(VLOOKUP("electricity|SO2|Premature mortality", US_national_yearly!$D:$AM, 23, FALSE) / VLOOKUP("electricity|SO2|Premature mortality", US_national_yearly!$D:$AM, 10, FALSE), 1)</f>
        <v>1.0931821703339161E-4</v>
      </c>
      <c r="P2" s="7">
        <f>$B2 * IFERROR(VLOOKUP("electricity|SO2|Premature mortality", US_national_yearly!$D:$AM, 24, FALSE) / VLOOKUP("electricity|SO2|Premature mortality", US_national_yearly!$D:$AM, 10, FALSE), 1)</f>
        <v>1.1052146518967777E-4</v>
      </c>
      <c r="Q2" s="7">
        <f>$B2 * IFERROR(VLOOKUP("electricity|SO2|Premature mortality", US_national_yearly!$D:$AM, 25, FALSE) / VLOOKUP("electricity|SO2|Premature mortality", US_national_yearly!$D:$AM, 10, FALSE), 1)</f>
        <v>1.1172471334596395E-4</v>
      </c>
      <c r="R2" s="7">
        <f>$B2 * IFERROR(VLOOKUP("electricity|SO2|Premature mortality", US_national_yearly!$D:$AM, 26, FALSE) / VLOOKUP("electricity|SO2|Premature mortality", US_national_yearly!$D:$AM, 10, FALSE), 1)</f>
        <v>1.1292796150225014E-4</v>
      </c>
      <c r="S2" s="7">
        <f>$B2 * IFERROR(VLOOKUP("electricity|SO2|Premature mortality", US_national_yearly!$D:$AM, 27, FALSE) / VLOOKUP("electricity|SO2|Premature mortality", US_national_yearly!$D:$AM, 10, FALSE), 1)</f>
        <v>1.1361781881658084E-4</v>
      </c>
      <c r="T2" s="7">
        <f>$B2 * IFERROR(VLOOKUP("electricity|SO2|Premature mortality", US_national_yearly!$D:$AM, 28, FALSE) / VLOOKUP("electricity|SO2|Premature mortality", US_national_yearly!$D:$AM, 10, FALSE), 1)</f>
        <v>1.1430767613091156E-4</v>
      </c>
      <c r="U2" s="7">
        <f>$B2 * IFERROR(VLOOKUP("electricity|SO2|Premature mortality", US_national_yearly!$D:$AM, 29, FALSE) / VLOOKUP("electricity|SO2|Premature mortality", US_national_yearly!$D:$AM, 10, FALSE), 1)</f>
        <v>1.1499753344524225E-4</v>
      </c>
      <c r="V2" s="7">
        <f>$B2 * IFERROR(VLOOKUP("electricity|SO2|Premature mortality", US_national_yearly!$D:$AM, 30, FALSE) / VLOOKUP("electricity|SO2|Premature mortality", US_national_yearly!$D:$AM, 10, FALSE), 1)</f>
        <v>1.1568739075957297E-4</v>
      </c>
      <c r="W2" s="7">
        <f>$B2 * IFERROR(VLOOKUP("electricity|SO2|Premature mortality", US_national_yearly!$D:$AM, 31, FALSE) / VLOOKUP("electricity|SO2|Premature mortality", US_national_yearly!$D:$AM, 10, FALSE), 1)</f>
        <v>1.1637724807390366E-4</v>
      </c>
      <c r="X2" s="7">
        <f>$B2 * IFERROR(VLOOKUP("electricity|SO2|Premature mortality", US_national_yearly!$D:$AM, 32, FALSE) / VLOOKUP("electricity|SO2|Premature mortality", US_national_yearly!$D:$AM, 10, FALSE), 1)</f>
        <v>1.1658051154335616E-4</v>
      </c>
      <c r="Y2" s="7">
        <f>$B2 * IFERROR(VLOOKUP("electricity|SO2|Premature mortality", US_national_yearly!$D:$AM, 33, FALSE) / VLOOKUP("electricity|SO2|Premature mortality", US_national_yearly!$D:$AM, 10, FALSE), 1)</f>
        <v>1.1678377501280863E-4</v>
      </c>
      <c r="Z2" s="7">
        <f>$B2 * IFERROR(VLOOKUP("electricity|SO2|Premature mortality", US_national_yearly!$D:$AM, 34, FALSE) / VLOOKUP("electricity|SO2|Premature mortality", US_national_yearly!$D:$AM, 10, FALSE), 1)</f>
        <v>1.169870384822611E-4</v>
      </c>
      <c r="AA2" s="7">
        <f>$B2 * IFERROR(VLOOKUP("electricity|SO2|Premature mortality", US_national_yearly!$D:$AM, 35, FALSE) / VLOOKUP("electricity|SO2|Premature mortality", US_national_yearly!$D:$AM, 10, FALSE), 1)</f>
        <v>1.171903019517136E-4</v>
      </c>
      <c r="AB2" s="7">
        <f>$B2 * IFERROR(VLOOKUP("electricity|SO2|Premature mortality", US_national_yearly!$D:$AM, 36, FALSE) / VLOOKUP("electricity|SO2|Premature mortality", US_national_yearly!$D:$AM, 10, FALSE), 1)</f>
        <v>1.1739356542116607E-4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1.9599242771425467E-7</v>
      </c>
      <c r="C3" s="7">
        <f>$B3 * IFERROR(VLOOKUP("electricity|SO2|Infant mortality", US_national_yearly!$D:$AM, 11, FALSE) / VLOOKUP("electricity|SO2|Infant mortality", US_national_yearly!$D:$AM, 10, FALSE), 1)</f>
        <v>1.9433666435327616E-7</v>
      </c>
      <c r="D3" s="7">
        <f>$B3 * IFERROR(VLOOKUP("electricity|SO2|Infant mortality", US_national_yearly!$D:$AM, 12, FALSE) / VLOOKUP("electricity|SO2|Infant mortality", US_national_yearly!$D:$AM, 10, FALSE), 1)</f>
        <v>1.926809009922976E-7</v>
      </c>
      <c r="E3" s="7">
        <f>$B3 * IFERROR(VLOOKUP("electricity|SO2|Infant mortality", US_national_yearly!$D:$AM, 13, FALSE) / VLOOKUP("electricity|SO2|Infant mortality", US_national_yearly!$D:$AM, 10, FALSE), 1)</f>
        <v>1.9102513763131907E-7</v>
      </c>
      <c r="F3" s="7">
        <f>$B3 * IFERROR(VLOOKUP("electricity|SO2|Infant mortality", US_national_yearly!$D:$AM, 14, FALSE) / VLOOKUP("electricity|SO2|Infant mortality", US_national_yearly!$D:$AM, 10, FALSE), 1)</f>
        <v>1.8936937427034058E-7</v>
      </c>
      <c r="G3" s="7">
        <f>$B3 * IFERROR(VLOOKUP("electricity|SO2|Infant mortality", US_national_yearly!$D:$AM, 15, FALSE) / VLOOKUP("electricity|SO2|Infant mortality", US_national_yearly!$D:$AM, 10, FALSE), 1)</f>
        <v>1.259404434632507E-7</v>
      </c>
      <c r="H3" s="7">
        <f>$B3 * IFERROR(VLOOKUP("electricity|SO2|Infant mortality", US_national_yearly!$D:$AM, 16, FALSE) / VLOOKUP("electricity|SO2|Infant mortality", US_national_yearly!$D:$AM, 10, FALSE), 1)</f>
        <v>6.251151265616085E-8</v>
      </c>
      <c r="I3" s="7">
        <f>$B3 * IFERROR(VLOOKUP("electricity|SO2|Infant mortality", US_national_yearly!$D:$AM, 17, FALSE) / VLOOKUP("electricity|SO2|Infant mortality", US_national_yearly!$D:$AM, 10, FALSE), 1)</f>
        <v>6.2111596464193508E-8</v>
      </c>
      <c r="J3" s="7">
        <f>$B3 * IFERROR(VLOOKUP("electricity|SO2|Infant mortality", US_national_yearly!$D:$AM, 18, FALSE) / VLOOKUP("electricity|SO2|Infant mortality", US_national_yearly!$D:$AM, 10, FALSE), 1)</f>
        <v>6.1711680272226166E-8</v>
      </c>
      <c r="K3" s="7">
        <f>$B3 * IFERROR(VLOOKUP("electricity|SO2|Infant mortality", US_national_yearly!$D:$AM, 19, FALSE) / VLOOKUP("electricity|SO2|Infant mortality", US_national_yearly!$D:$AM, 10, FALSE), 1)</f>
        <v>6.1311764080258851E-8</v>
      </c>
      <c r="L3" s="7">
        <f>$B3 * IFERROR(VLOOKUP("electricity|SO2|Infant mortality", US_national_yearly!$D:$AM, 20, FALSE) / VLOOKUP("electricity|SO2|Infant mortality", US_national_yearly!$D:$AM, 10, FALSE), 1)</f>
        <v>6.0911847888291509E-8</v>
      </c>
      <c r="M3" s="7">
        <f>$B3 * IFERROR(VLOOKUP("electricity|SO2|Infant mortality", US_national_yearly!$D:$AM, 21, FALSE) / VLOOKUP("electricity|SO2|Infant mortality", US_national_yearly!$D:$AM, 10, FALSE), 1)</f>
        <v>6.0511931696324167E-8</v>
      </c>
      <c r="N3" s="7">
        <f>$B3 * IFERROR(VLOOKUP("electricity|SO2|Infant mortality", US_national_yearly!$D:$AM, 22, FALSE) / VLOOKUP("electricity|SO2|Infant mortality", US_national_yearly!$D:$AM, 10, FALSE), 1)</f>
        <v>6.0258527075595615E-8</v>
      </c>
      <c r="O3" s="7">
        <f>$B3 * IFERROR(VLOOKUP("electricity|SO2|Infant mortality", US_national_yearly!$D:$AM, 23, FALSE) / VLOOKUP("electricity|SO2|Infant mortality", US_national_yearly!$D:$AM, 10, FALSE), 1)</f>
        <v>6.0005122454867048E-8</v>
      </c>
      <c r="P3" s="7">
        <f>$B3 * IFERROR(VLOOKUP("electricity|SO2|Infant mortality", US_national_yearly!$D:$AM, 24, FALSE) / VLOOKUP("electricity|SO2|Infant mortality", US_national_yearly!$D:$AM, 10, FALSE), 1)</f>
        <v>5.9751717834138482E-8</v>
      </c>
      <c r="Q3" s="7">
        <f>$B3 * IFERROR(VLOOKUP("electricity|SO2|Infant mortality", US_national_yearly!$D:$AM, 25, FALSE) / VLOOKUP("electricity|SO2|Infant mortality", US_national_yearly!$D:$AM, 10, FALSE), 1)</f>
        <v>5.949831321340993E-8</v>
      </c>
      <c r="R3" s="7">
        <f>$B3 * IFERROR(VLOOKUP("electricity|SO2|Infant mortality", US_national_yearly!$D:$AM, 26, FALSE) / VLOOKUP("electricity|SO2|Infant mortality", US_national_yearly!$D:$AM, 10, FALSE), 1)</f>
        <v>5.9244908592681377E-8</v>
      </c>
      <c r="S3" s="7">
        <f>$B3 * IFERROR(VLOOKUP("electricity|SO2|Infant mortality", US_national_yearly!$D:$AM, 27, FALSE) / VLOOKUP("electricity|SO2|Infant mortality", US_national_yearly!$D:$AM, 10, FALSE), 1)</f>
        <v>5.8929071842049843E-8</v>
      </c>
      <c r="T3" s="7">
        <f>$B3 * IFERROR(VLOOKUP("electricity|SO2|Infant mortality", US_national_yearly!$D:$AM, 28, FALSE) / VLOOKUP("electricity|SO2|Infant mortality", US_national_yearly!$D:$AM, 10, FALSE), 1)</f>
        <v>5.8613235091418316E-8</v>
      </c>
      <c r="U3" s="7">
        <f>$B3 * IFERROR(VLOOKUP("electricity|SO2|Infant mortality", US_national_yearly!$D:$AM, 29, FALSE) / VLOOKUP("electricity|SO2|Infant mortality", US_national_yearly!$D:$AM, 10, FALSE), 1)</f>
        <v>5.8297398340786789E-8</v>
      </c>
      <c r="V3" s="7">
        <f>$B3 * IFERROR(VLOOKUP("electricity|SO2|Infant mortality", US_national_yearly!$D:$AM, 30, FALSE) / VLOOKUP("electricity|SO2|Infant mortality", US_national_yearly!$D:$AM, 10, FALSE), 1)</f>
        <v>5.7981561590155269E-8</v>
      </c>
      <c r="W3" s="7">
        <f>$B3 * IFERROR(VLOOKUP("electricity|SO2|Infant mortality", US_national_yearly!$D:$AM, 31, FALSE) / VLOOKUP("electricity|SO2|Infant mortality", US_national_yearly!$D:$AM, 10, FALSE), 1)</f>
        <v>5.7665724839523735E-8</v>
      </c>
      <c r="X3" s="7">
        <f>$B3 * IFERROR(VLOOKUP("electricity|SO2|Infant mortality", US_national_yearly!$D:$AM, 32, FALSE) / VLOOKUP("electricity|SO2|Infant mortality", US_national_yearly!$D:$AM, 10, FALSE), 1)</f>
        <v>5.7328736275537057E-8</v>
      </c>
      <c r="Y3" s="7">
        <f>$B3 * IFERROR(VLOOKUP("electricity|SO2|Infant mortality", US_national_yearly!$D:$AM, 33, FALSE) / VLOOKUP("electricity|SO2|Infant mortality", US_national_yearly!$D:$AM, 10, FALSE), 1)</f>
        <v>5.6991747711550365E-8</v>
      </c>
      <c r="Z3" s="7">
        <f>$B3 * IFERROR(VLOOKUP("electricity|SO2|Infant mortality", US_national_yearly!$D:$AM, 34, FALSE) / VLOOKUP("electricity|SO2|Infant mortality", US_national_yearly!$D:$AM, 10, FALSE), 1)</f>
        <v>5.6654759147563687E-8</v>
      </c>
      <c r="AA3" s="7">
        <f>$B3 * IFERROR(VLOOKUP("electricity|SO2|Infant mortality", US_national_yearly!$D:$AM, 35, FALSE) / VLOOKUP("electricity|SO2|Infant mortality", US_national_yearly!$D:$AM, 10, FALSE), 1)</f>
        <v>5.6317770583577015E-8</v>
      </c>
      <c r="AB3" s="7">
        <f>$B3 * IFERROR(VLOOKUP("electricity|SO2|Infant mortality", US_national_yearly!$D:$AM, 36, FALSE) / VLOOKUP("electricity|SO2|Infant mortality", US_national_yearly!$D:$AM, 10, FALSE), 1)</f>
        <v>5.598078201959033E-8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1.9936652020107208E-4</v>
      </c>
      <c r="C6" s="7">
        <f>$B6 * IFERROR(VLOOKUP("electricity|SO2|Asthma symptoms cough", US_national_yearly!$D:$AM, 11, FALSE) / VLOOKUP("electricity|SO2|Asthma symptoms cough", US_national_yearly!$D:$AM, 10, FALSE), 1)</f>
        <v>1.9936652020107208E-4</v>
      </c>
      <c r="D6" s="7">
        <f>$B6 * IFERROR(VLOOKUP("electricity|SO2|Asthma symptoms cough", US_national_yearly!$D:$AM, 12, FALSE) / VLOOKUP("electricity|SO2|Asthma symptoms cough", US_national_yearly!$D:$AM, 10, FALSE), 1)</f>
        <v>1.9936652020107208E-4</v>
      </c>
      <c r="E6" s="7">
        <f>$B6 * IFERROR(VLOOKUP("electricity|SO2|Asthma symptoms cough", US_national_yearly!$D:$AM, 13, FALSE) / VLOOKUP("electricity|SO2|Asthma symptoms cough", US_national_yearly!$D:$AM, 10, FALSE), 1)</f>
        <v>1.9936652020107208E-4</v>
      </c>
      <c r="F6" s="7">
        <f>$B6 * IFERROR(VLOOKUP("electricity|SO2|Asthma symptoms cough", US_national_yearly!$D:$AM, 14, FALSE) / VLOOKUP("electricity|SO2|Asthma symptoms cough", US_national_yearly!$D:$AM, 10, FALSE), 1)</f>
        <v>1.9936652020107208E-4</v>
      </c>
      <c r="G6" s="7">
        <f>$B6 * IFERROR(VLOOKUP("electricity|SO2|Asthma symptoms cough", US_national_yearly!$D:$AM, 15, FALSE) / VLOOKUP("electricity|SO2|Asthma symptoms cough", US_national_yearly!$D:$AM, 10, FALSE), 1)</f>
        <v>1.9936652020107208E-4</v>
      </c>
      <c r="H6" s="7">
        <f>$B6 * IFERROR(VLOOKUP("electricity|SO2|Asthma symptoms cough", US_national_yearly!$D:$AM, 16, FALSE) / VLOOKUP("electricity|SO2|Asthma symptoms cough", US_national_yearly!$D:$AM, 10, FALSE), 1)</f>
        <v>1.9936652020107208E-4</v>
      </c>
      <c r="I6" s="7">
        <f>$B6 * IFERROR(VLOOKUP("electricity|SO2|Asthma symptoms cough", US_national_yearly!$D:$AM, 17, FALSE) / VLOOKUP("electricity|SO2|Asthma symptoms cough", US_national_yearly!$D:$AM, 10, FALSE), 1)</f>
        <v>1.9936652020107208E-4</v>
      </c>
      <c r="J6" s="7">
        <f>$B6 * IFERROR(VLOOKUP("electricity|SO2|Asthma symptoms cough", US_national_yearly!$D:$AM, 18, FALSE) / VLOOKUP("electricity|SO2|Asthma symptoms cough", US_national_yearly!$D:$AM, 10, FALSE), 1)</f>
        <v>1.9936652020107208E-4</v>
      </c>
      <c r="K6" s="7">
        <f>$B6 * IFERROR(VLOOKUP("electricity|SO2|Asthma symptoms cough", US_national_yearly!$D:$AM, 19, FALSE) / VLOOKUP("electricity|SO2|Asthma symptoms cough", US_national_yearly!$D:$AM, 10, FALSE), 1)</f>
        <v>1.9936652020107208E-4</v>
      </c>
      <c r="L6" s="7">
        <f>$B6 * IFERROR(VLOOKUP("electricity|SO2|Asthma symptoms cough", US_national_yearly!$D:$AM, 20, FALSE) / VLOOKUP("electricity|SO2|Asthma symptoms cough", US_national_yearly!$D:$AM, 10, FALSE), 1)</f>
        <v>1.9936652020107208E-4</v>
      </c>
      <c r="M6" s="7">
        <f>$B6 * IFERROR(VLOOKUP("electricity|SO2|Asthma symptoms cough", US_national_yearly!$D:$AM, 21, FALSE) / VLOOKUP("electricity|SO2|Asthma symptoms cough", US_national_yearly!$D:$AM, 10, FALSE), 1)</f>
        <v>1.9936652020107208E-4</v>
      </c>
      <c r="N6" s="7">
        <f>$B6 * IFERROR(VLOOKUP("electricity|SO2|Asthma symptoms cough", US_national_yearly!$D:$AM, 22, FALSE) / VLOOKUP("electricity|SO2|Asthma symptoms cough", US_national_yearly!$D:$AM, 10, FALSE), 1)</f>
        <v>1.9936652020107208E-4</v>
      </c>
      <c r="O6" s="7">
        <f>$B6 * IFERROR(VLOOKUP("electricity|SO2|Asthma symptoms cough", US_national_yearly!$D:$AM, 23, FALSE) / VLOOKUP("electricity|SO2|Asthma symptoms cough", US_national_yearly!$D:$AM, 10, FALSE), 1)</f>
        <v>1.9936652020107208E-4</v>
      </c>
      <c r="P6" s="7">
        <f>$B6 * IFERROR(VLOOKUP("electricity|SO2|Asthma symptoms cough", US_national_yearly!$D:$AM, 24, FALSE) / VLOOKUP("electricity|SO2|Asthma symptoms cough", US_national_yearly!$D:$AM, 10, FALSE), 1)</f>
        <v>1.9936652020107208E-4</v>
      </c>
      <c r="Q6" s="7">
        <f>$B6 * IFERROR(VLOOKUP("electricity|SO2|Asthma symptoms cough", US_national_yearly!$D:$AM, 25, FALSE) / VLOOKUP("electricity|SO2|Asthma symptoms cough", US_national_yearly!$D:$AM, 10, FALSE), 1)</f>
        <v>1.9936652020107208E-4</v>
      </c>
      <c r="R6" s="7">
        <f>$B6 * IFERROR(VLOOKUP("electricity|SO2|Asthma symptoms cough", US_national_yearly!$D:$AM, 26, FALSE) / VLOOKUP("electricity|SO2|Asthma symptoms cough", US_national_yearly!$D:$AM, 10, FALSE), 1)</f>
        <v>1.9936652020107208E-4</v>
      </c>
      <c r="S6" s="7">
        <f>$B6 * IFERROR(VLOOKUP("electricity|SO2|Asthma symptoms cough", US_national_yearly!$D:$AM, 27, FALSE) / VLOOKUP("electricity|SO2|Asthma symptoms cough", US_national_yearly!$D:$AM, 10, FALSE), 1)</f>
        <v>1.9936652020107208E-4</v>
      </c>
      <c r="T6" s="7">
        <f>$B6 * IFERROR(VLOOKUP("electricity|SO2|Asthma symptoms cough", US_national_yearly!$D:$AM, 28, FALSE) / VLOOKUP("electricity|SO2|Asthma symptoms cough", US_national_yearly!$D:$AM, 10, FALSE), 1)</f>
        <v>1.9936652020107208E-4</v>
      </c>
      <c r="U6" s="7">
        <f>$B6 * IFERROR(VLOOKUP("electricity|SO2|Asthma symptoms cough", US_national_yearly!$D:$AM, 29, FALSE) / VLOOKUP("electricity|SO2|Asthma symptoms cough", US_national_yearly!$D:$AM, 10, FALSE), 1)</f>
        <v>1.9936652020107208E-4</v>
      </c>
      <c r="V6" s="7">
        <f>$B6 * IFERROR(VLOOKUP("electricity|SO2|Asthma symptoms cough", US_national_yearly!$D:$AM, 30, FALSE) / VLOOKUP("electricity|SO2|Asthma symptoms cough", US_national_yearly!$D:$AM, 10, FALSE), 1)</f>
        <v>1.9936652020107208E-4</v>
      </c>
      <c r="W6" s="7">
        <f>$B6 * IFERROR(VLOOKUP("electricity|SO2|Asthma symptoms cough", US_national_yearly!$D:$AM, 31, FALSE) / VLOOKUP("electricity|SO2|Asthma symptoms cough", US_national_yearly!$D:$AM, 10, FALSE), 1)</f>
        <v>1.9936652020107208E-4</v>
      </c>
      <c r="X6" s="7">
        <f>$B6 * IFERROR(VLOOKUP("electricity|SO2|Asthma symptoms cough", US_national_yearly!$D:$AM, 32, FALSE) / VLOOKUP("electricity|SO2|Asthma symptoms cough", US_national_yearly!$D:$AM, 10, FALSE), 1)</f>
        <v>1.9936652020107208E-4</v>
      </c>
      <c r="Y6" s="7">
        <f>$B6 * IFERROR(VLOOKUP("electricity|SO2|Asthma symptoms cough", US_national_yearly!$D:$AM, 33, FALSE) / VLOOKUP("electricity|SO2|Asthma symptoms cough", US_national_yearly!$D:$AM, 10, FALSE), 1)</f>
        <v>1.9936652020107208E-4</v>
      </c>
      <c r="Z6" s="7">
        <f>$B6 * IFERROR(VLOOKUP("electricity|SO2|Asthma symptoms cough", US_national_yearly!$D:$AM, 34, FALSE) / VLOOKUP("electricity|SO2|Asthma symptoms cough", US_national_yearly!$D:$AM, 10, FALSE), 1)</f>
        <v>1.9936652020107208E-4</v>
      </c>
      <c r="AA6" s="7">
        <f>$B6 * IFERROR(VLOOKUP("electricity|SO2|Asthma symptoms cough", US_national_yearly!$D:$AM, 35, FALSE) / VLOOKUP("electricity|SO2|Asthma symptoms cough", US_national_yearly!$D:$AM, 10, FALSE), 1)</f>
        <v>1.9936652020107208E-4</v>
      </c>
      <c r="AB6" s="7">
        <f>$B6 * IFERROR(VLOOKUP("electricity|SO2|Asthma symptoms cough", US_national_yearly!$D:$AM, 36, FALSE) / VLOOKUP("electricity|SO2|Asthma symptoms cough", US_national_yearly!$D:$AM, 10, FALSE), 1)</f>
        <v>1.9936652020107208E-4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2.6847616883537832E-4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2.6847616883537832E-4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2.6847616883537832E-4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2.6847616883537832E-4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2.6847616883537832E-4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2.6847616883537832E-4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2.6847616883537832E-4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2.6847616883537832E-4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2.6847616883537832E-4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2.6847616883537832E-4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2.6847616883537832E-4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2.6847616883537832E-4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2.6847616883537832E-4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2.6847616883537832E-4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2.6847616883537832E-4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2.6847616883537832E-4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2.6847616883537832E-4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2.6847616883537832E-4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2.6847616883537832E-4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2.6847616883537832E-4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2.6847616883537832E-4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2.6847616883537832E-4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2.6847616883537832E-4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2.6847616883537832E-4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2.6847616883537832E-4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2.6847616883537832E-4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2.6847616883537832E-4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4.1018529051309712E-4</v>
      </c>
      <c r="C8" s="7">
        <f>$B8 * IFERROR(VLOOKUP("electricity|SO2|Asthma symptoms wheeze", US_national_yearly!$D:$AM, 11, FALSE) / VLOOKUP("electricity|SO2|Asthma symptoms wheeze", US_national_yearly!$D:$AM, 10, FALSE), 1)</f>
        <v>4.1018529051309712E-4</v>
      </c>
      <c r="D8" s="7">
        <f>$B8 * IFERROR(VLOOKUP("electricity|SO2|Asthma symptoms wheeze", US_national_yearly!$D:$AM, 12, FALSE) / VLOOKUP("electricity|SO2|Asthma symptoms wheeze", US_national_yearly!$D:$AM, 10, FALSE), 1)</f>
        <v>4.1018529051309712E-4</v>
      </c>
      <c r="E8" s="7">
        <f>$B8 * IFERROR(VLOOKUP("electricity|SO2|Asthma symptoms wheeze", US_national_yearly!$D:$AM, 13, FALSE) / VLOOKUP("electricity|SO2|Asthma symptoms wheeze", US_national_yearly!$D:$AM, 10, FALSE), 1)</f>
        <v>4.1018529051309712E-4</v>
      </c>
      <c r="F8" s="7">
        <f>$B8 * IFERROR(VLOOKUP("electricity|SO2|Asthma symptoms wheeze", US_national_yearly!$D:$AM, 14, FALSE) / VLOOKUP("electricity|SO2|Asthma symptoms wheeze", US_national_yearly!$D:$AM, 10, FALSE), 1)</f>
        <v>4.1018529051309712E-4</v>
      </c>
      <c r="G8" s="7">
        <f>$B8 * IFERROR(VLOOKUP("electricity|SO2|Asthma symptoms wheeze", US_national_yearly!$D:$AM, 15, FALSE) / VLOOKUP("electricity|SO2|Asthma symptoms wheeze", US_national_yearly!$D:$AM, 10, FALSE), 1)</f>
        <v>4.1018529051309712E-4</v>
      </c>
      <c r="H8" s="7">
        <f>$B8 * IFERROR(VLOOKUP("electricity|SO2|Asthma symptoms wheeze", US_national_yearly!$D:$AM, 16, FALSE) / VLOOKUP("electricity|SO2|Asthma symptoms wheeze", US_national_yearly!$D:$AM, 10, FALSE), 1)</f>
        <v>4.1018529051309712E-4</v>
      </c>
      <c r="I8" s="7">
        <f>$B8 * IFERROR(VLOOKUP("electricity|SO2|Asthma symptoms wheeze", US_national_yearly!$D:$AM, 17, FALSE) / VLOOKUP("electricity|SO2|Asthma symptoms wheeze", US_national_yearly!$D:$AM, 10, FALSE), 1)</f>
        <v>4.1018529051309712E-4</v>
      </c>
      <c r="J8" s="7">
        <f>$B8 * IFERROR(VLOOKUP("electricity|SO2|Asthma symptoms wheeze", US_national_yearly!$D:$AM, 18, FALSE) / VLOOKUP("electricity|SO2|Asthma symptoms wheeze", US_national_yearly!$D:$AM, 10, FALSE), 1)</f>
        <v>4.1018529051309712E-4</v>
      </c>
      <c r="K8" s="7">
        <f>$B8 * IFERROR(VLOOKUP("electricity|SO2|Asthma symptoms wheeze", US_national_yearly!$D:$AM, 19, FALSE) / VLOOKUP("electricity|SO2|Asthma symptoms wheeze", US_national_yearly!$D:$AM, 10, FALSE), 1)</f>
        <v>4.1018529051309712E-4</v>
      </c>
      <c r="L8" s="7">
        <f>$B8 * IFERROR(VLOOKUP("electricity|SO2|Asthma symptoms wheeze", US_national_yearly!$D:$AM, 20, FALSE) / VLOOKUP("electricity|SO2|Asthma symptoms wheeze", US_national_yearly!$D:$AM, 10, FALSE), 1)</f>
        <v>4.1018529051309712E-4</v>
      </c>
      <c r="M8" s="7">
        <f>$B8 * IFERROR(VLOOKUP("electricity|SO2|Asthma symptoms wheeze", US_national_yearly!$D:$AM, 21, FALSE) / VLOOKUP("electricity|SO2|Asthma symptoms wheeze", US_national_yearly!$D:$AM, 10, FALSE), 1)</f>
        <v>4.1018529051309712E-4</v>
      </c>
      <c r="N8" s="7">
        <f>$B8 * IFERROR(VLOOKUP("electricity|SO2|Asthma symptoms wheeze", US_national_yearly!$D:$AM, 22, FALSE) / VLOOKUP("electricity|SO2|Asthma symptoms wheeze", US_national_yearly!$D:$AM, 10, FALSE), 1)</f>
        <v>4.1018529051309712E-4</v>
      </c>
      <c r="O8" s="7">
        <f>$B8 * IFERROR(VLOOKUP("electricity|SO2|Asthma symptoms wheeze", US_national_yearly!$D:$AM, 23, FALSE) / VLOOKUP("electricity|SO2|Asthma symptoms wheeze", US_national_yearly!$D:$AM, 10, FALSE), 1)</f>
        <v>4.1018529051309712E-4</v>
      </c>
      <c r="P8" s="7">
        <f>$B8 * IFERROR(VLOOKUP("electricity|SO2|Asthma symptoms wheeze", US_national_yearly!$D:$AM, 24, FALSE) / VLOOKUP("electricity|SO2|Asthma symptoms wheeze", US_national_yearly!$D:$AM, 10, FALSE), 1)</f>
        <v>4.1018529051309712E-4</v>
      </c>
      <c r="Q8" s="7">
        <f>$B8 * IFERROR(VLOOKUP("electricity|SO2|Asthma symptoms wheeze", US_national_yearly!$D:$AM, 25, FALSE) / VLOOKUP("electricity|SO2|Asthma symptoms wheeze", US_national_yearly!$D:$AM, 10, FALSE), 1)</f>
        <v>4.1018529051309712E-4</v>
      </c>
      <c r="R8" s="7">
        <f>$B8 * IFERROR(VLOOKUP("electricity|SO2|Asthma symptoms wheeze", US_national_yearly!$D:$AM, 26, FALSE) / VLOOKUP("electricity|SO2|Asthma symptoms wheeze", US_national_yearly!$D:$AM, 10, FALSE), 1)</f>
        <v>4.1018529051309712E-4</v>
      </c>
      <c r="S8" s="7">
        <f>$B8 * IFERROR(VLOOKUP("electricity|SO2|Asthma symptoms wheeze", US_national_yearly!$D:$AM, 27, FALSE) / VLOOKUP("electricity|SO2|Asthma symptoms wheeze", US_national_yearly!$D:$AM, 10, FALSE), 1)</f>
        <v>4.1018529051309712E-4</v>
      </c>
      <c r="T8" s="7">
        <f>$B8 * IFERROR(VLOOKUP("electricity|SO2|Asthma symptoms wheeze", US_national_yearly!$D:$AM, 28, FALSE) / VLOOKUP("electricity|SO2|Asthma symptoms wheeze", US_national_yearly!$D:$AM, 10, FALSE), 1)</f>
        <v>4.1018529051309712E-4</v>
      </c>
      <c r="U8" s="7">
        <f>$B8 * IFERROR(VLOOKUP("electricity|SO2|Asthma symptoms wheeze", US_national_yearly!$D:$AM, 29, FALSE) / VLOOKUP("electricity|SO2|Asthma symptoms wheeze", US_national_yearly!$D:$AM, 10, FALSE), 1)</f>
        <v>4.1018529051309712E-4</v>
      </c>
      <c r="V8" s="7">
        <f>$B8 * IFERROR(VLOOKUP("electricity|SO2|Asthma symptoms wheeze", US_national_yearly!$D:$AM, 30, FALSE) / VLOOKUP("electricity|SO2|Asthma symptoms wheeze", US_national_yearly!$D:$AM, 10, FALSE), 1)</f>
        <v>4.1018529051309712E-4</v>
      </c>
      <c r="W8" s="7">
        <f>$B8 * IFERROR(VLOOKUP("electricity|SO2|Asthma symptoms wheeze", US_national_yearly!$D:$AM, 31, FALSE) / VLOOKUP("electricity|SO2|Asthma symptoms wheeze", US_national_yearly!$D:$AM, 10, FALSE), 1)</f>
        <v>4.1018529051309712E-4</v>
      </c>
      <c r="X8" s="7">
        <f>$B8 * IFERROR(VLOOKUP("electricity|SO2|Asthma symptoms wheeze", US_national_yearly!$D:$AM, 32, FALSE) / VLOOKUP("electricity|SO2|Asthma symptoms wheeze", US_national_yearly!$D:$AM, 10, FALSE), 1)</f>
        <v>4.1018529051309712E-4</v>
      </c>
      <c r="Y8" s="7">
        <f>$B8 * IFERROR(VLOOKUP("electricity|SO2|Asthma symptoms wheeze", US_national_yearly!$D:$AM, 33, FALSE) / VLOOKUP("electricity|SO2|Asthma symptoms wheeze", US_national_yearly!$D:$AM, 10, FALSE), 1)</f>
        <v>4.1018529051309712E-4</v>
      </c>
      <c r="Z8" s="7">
        <f>$B8 * IFERROR(VLOOKUP("electricity|SO2|Asthma symptoms wheeze", US_national_yearly!$D:$AM, 34, FALSE) / VLOOKUP("electricity|SO2|Asthma symptoms wheeze", US_national_yearly!$D:$AM, 10, FALSE), 1)</f>
        <v>4.1018529051309712E-4</v>
      </c>
      <c r="AA8" s="7">
        <f>$B8 * IFERROR(VLOOKUP("electricity|SO2|Asthma symptoms wheeze", US_national_yearly!$D:$AM, 35, FALSE) / VLOOKUP("electricity|SO2|Asthma symptoms wheeze", US_national_yearly!$D:$AM, 10, FALSE), 1)</f>
        <v>4.1018529051309712E-4</v>
      </c>
      <c r="AB8" s="7">
        <f>$B8 * IFERROR(VLOOKUP("electricity|SO2|Asthma symptoms wheeze", US_national_yearly!$D:$AM, 36, FALSE) / VLOOKUP("electricity|SO2|Asthma symptoms wheeze", US_national_yearly!$D:$AM, 10, FALSE), 1)</f>
        <v>4.1018529051309712E-4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3.8956134622345599E-6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3.9185571877236049E-6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3.9415009132126507E-6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3.9644446387016957E-6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3.9873883641907415E-6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4.0123900400627687E-6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4.0373917159347976E-6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4.0614436935035448E-6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4.0854956710722927E-6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4.1095476486410407E-6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4.1335996262097879E-6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4.1576516037785358E-6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4.1749031348813303E-6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4.1921546659841265E-6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4.2094061970869211E-6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4.2266577281897164E-6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4.2439092592925118E-6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4.2601921652425425E-6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4.2764750711925741E-6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4.2927579771426049E-6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4.3090408830926365E-6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4.3253237890426681E-6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4.3409444193961113E-6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4.3565650497495552E-6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4.3721856801029992E-6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4.3878063104564423E-6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4.4034269408098863E-6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5.839455225559452E-6</v>
      </c>
      <c r="C13" s="7">
        <f>$B13 * IFERROR(VLOOKUP("electricity|SO2|Non-fatal heart attacks", US_national_yearly!$D:$AM, 11, FALSE) / VLOOKUP("electricity|SO2|Non-fatal heart attacks", US_national_yearly!$D:$AM, 10, FALSE), 1)</f>
        <v>6.0114597048992359E-6</v>
      </c>
      <c r="D13" s="7">
        <f>$B13 * IFERROR(VLOOKUP("electricity|SO2|Non-fatal heart attacks", US_national_yearly!$D:$AM, 12, FALSE) / VLOOKUP("electricity|SO2|Non-fatal heart attacks", US_national_yearly!$D:$AM, 10, FALSE), 1)</f>
        <v>6.1834641842390173E-6</v>
      </c>
      <c r="E13" s="7">
        <f>$B13 * IFERROR(VLOOKUP("electricity|SO2|Non-fatal heart attacks", US_national_yearly!$D:$AM, 13, FALSE) / VLOOKUP("electricity|SO2|Non-fatal heart attacks", US_national_yearly!$D:$AM, 10, FALSE), 1)</f>
        <v>6.3554686635788012E-6</v>
      </c>
      <c r="F13" s="7">
        <f>$B13 * IFERROR(VLOOKUP("electricity|SO2|Non-fatal heart attacks", US_national_yearly!$D:$AM, 14, FALSE) / VLOOKUP("electricity|SO2|Non-fatal heart attacks", US_national_yearly!$D:$AM, 10, FALSE), 1)</f>
        <v>6.5274731429185843E-6</v>
      </c>
      <c r="G13" s="7">
        <f>$B13 * IFERROR(VLOOKUP("electricity|SO2|Non-fatal heart attacks", US_national_yearly!$D:$AM, 15, FALSE) / VLOOKUP("electricity|SO2|Non-fatal heart attacks", US_national_yearly!$D:$AM, 10, FALSE), 1)</f>
        <v>6.6907105544733857E-6</v>
      </c>
      <c r="H13" s="7">
        <f>$B13 * IFERROR(VLOOKUP("electricity|SO2|Non-fatal heart attacks", US_national_yearly!$D:$AM, 16, FALSE) / VLOOKUP("electricity|SO2|Non-fatal heart attacks", US_national_yearly!$D:$AM, 10, FALSE), 1)</f>
        <v>6.8539479660281878E-6</v>
      </c>
      <c r="I13" s="7">
        <f>$B13 * IFERROR(VLOOKUP("electricity|SO2|Non-fatal heart attacks", US_national_yearly!$D:$AM, 17, FALSE) / VLOOKUP("electricity|SO2|Non-fatal heart attacks", US_national_yearly!$D:$AM, 10, FALSE), 1)</f>
        <v>6.9868861532961473E-6</v>
      </c>
      <c r="J13" s="7">
        <f>$B13 * IFERROR(VLOOKUP("electricity|SO2|Non-fatal heart attacks", US_national_yearly!$D:$AM, 18, FALSE) / VLOOKUP("electricity|SO2|Non-fatal heart attacks", US_national_yearly!$D:$AM, 10, FALSE), 1)</f>
        <v>7.1198243405641059E-6</v>
      </c>
      <c r="K13" s="7">
        <f>$B13 * IFERROR(VLOOKUP("electricity|SO2|Non-fatal heart attacks", US_national_yearly!$D:$AM, 19, FALSE) / VLOOKUP("electricity|SO2|Non-fatal heart attacks", US_national_yearly!$D:$AM, 10, FALSE), 1)</f>
        <v>7.2527625278320654E-6</v>
      </c>
      <c r="L13" s="7">
        <f>$B13 * IFERROR(VLOOKUP("electricity|SO2|Non-fatal heart attacks", US_national_yearly!$D:$AM, 20, FALSE) / VLOOKUP("electricity|SO2|Non-fatal heart attacks", US_national_yearly!$D:$AM, 10, FALSE), 1)</f>
        <v>7.385700715100024E-6</v>
      </c>
      <c r="M13" s="7">
        <f>$B13 * IFERROR(VLOOKUP("electricity|SO2|Non-fatal heart attacks", US_national_yearly!$D:$AM, 21, FALSE) / VLOOKUP("electricity|SO2|Non-fatal heart attacks", US_national_yearly!$D:$AM, 10, FALSE), 1)</f>
        <v>7.5186389023679835E-6</v>
      </c>
      <c r="N13" s="7">
        <f>$B13 * IFERROR(VLOOKUP("electricity|SO2|Non-fatal heart attacks", US_national_yearly!$D:$AM, 22, FALSE) / VLOOKUP("electricity|SO2|Non-fatal heart attacks", US_national_yearly!$D:$AM, 10, FALSE), 1)</f>
        <v>7.6063053783478664E-6</v>
      </c>
      <c r="O13" s="7">
        <f>$B13 * IFERROR(VLOOKUP("electricity|SO2|Non-fatal heart attacks", US_national_yearly!$D:$AM, 23, FALSE) / VLOOKUP("electricity|SO2|Non-fatal heart attacks", US_national_yearly!$D:$AM, 10, FALSE), 1)</f>
        <v>7.6939718543277477E-6</v>
      </c>
      <c r="P13" s="7">
        <f>$B13 * IFERROR(VLOOKUP("electricity|SO2|Non-fatal heart attacks", US_national_yearly!$D:$AM, 24, FALSE) / VLOOKUP("electricity|SO2|Non-fatal heart attacks", US_national_yearly!$D:$AM, 10, FALSE), 1)</f>
        <v>7.7816383303076306E-6</v>
      </c>
      <c r="Q13" s="7">
        <f>$B13 * IFERROR(VLOOKUP("electricity|SO2|Non-fatal heart attacks", US_national_yearly!$D:$AM, 25, FALSE) / VLOOKUP("electricity|SO2|Non-fatal heart attacks", US_national_yearly!$D:$AM, 10, FALSE), 1)</f>
        <v>7.8693048062875135E-6</v>
      </c>
      <c r="R13" s="7">
        <f>$B13 * IFERROR(VLOOKUP("electricity|SO2|Non-fatal heart attacks", US_national_yearly!$D:$AM, 26, FALSE) / VLOOKUP("electricity|SO2|Non-fatal heart attacks", US_national_yearly!$D:$AM, 10, FALSE), 1)</f>
        <v>7.9569712822673948E-6</v>
      </c>
      <c r="S13" s="7">
        <f>$B13 * IFERROR(VLOOKUP("electricity|SO2|Non-fatal heart attacks", US_national_yearly!$D:$AM, 27, FALSE) / VLOOKUP("electricity|SO2|Non-fatal heart attacks", US_national_yearly!$D:$AM, 10, FALSE), 1)</f>
        <v>8.0046772922943194E-6</v>
      </c>
      <c r="T13" s="7">
        <f>$B13 * IFERROR(VLOOKUP("electricity|SO2|Non-fatal heart attacks", US_national_yearly!$D:$AM, 28, FALSE) / VLOOKUP("electricity|SO2|Non-fatal heart attacks", US_national_yearly!$D:$AM, 10, FALSE), 1)</f>
        <v>8.0523833023212457E-6</v>
      </c>
      <c r="U13" s="7">
        <f>$B13 * IFERROR(VLOOKUP("electricity|SO2|Non-fatal heart attacks", US_national_yearly!$D:$AM, 29, FALSE) / VLOOKUP("electricity|SO2|Non-fatal heart attacks", US_national_yearly!$D:$AM, 10, FALSE), 1)</f>
        <v>8.100089312348172E-6</v>
      </c>
      <c r="V13" s="7">
        <f>$B13 * IFERROR(VLOOKUP("electricity|SO2|Non-fatal heart attacks", US_national_yearly!$D:$AM, 30, FALSE) / VLOOKUP("electricity|SO2|Non-fatal heart attacks", US_national_yearly!$D:$AM, 10, FALSE), 1)</f>
        <v>8.1477953223750949E-6</v>
      </c>
      <c r="W13" s="7">
        <f>$B13 * IFERROR(VLOOKUP("electricity|SO2|Non-fatal heart attacks", US_national_yearly!$D:$AM, 31, FALSE) / VLOOKUP("electricity|SO2|Non-fatal heart attacks", US_national_yearly!$D:$AM, 10, FALSE), 1)</f>
        <v>8.1955013324020195E-6</v>
      </c>
      <c r="X13" s="7">
        <f>$B13 * IFERROR(VLOOKUP("electricity|SO2|Non-fatal heart attacks", US_national_yearly!$D:$AM, 32, FALSE) / VLOOKUP("electricity|SO2|Non-fatal heart attacks", US_national_yearly!$D:$AM, 10, FALSE), 1)</f>
        <v>8.2321475124263921E-6</v>
      </c>
      <c r="Y13" s="7">
        <f>$B13 * IFERROR(VLOOKUP("electricity|SO2|Non-fatal heart attacks", US_national_yearly!$D:$AM, 33, FALSE) / VLOOKUP("electricity|SO2|Non-fatal heart attacks", US_national_yearly!$D:$AM, 10, FALSE), 1)</f>
        <v>8.2687936924507663E-6</v>
      </c>
      <c r="Z13" s="7">
        <f>$B13 * IFERROR(VLOOKUP("electricity|SO2|Non-fatal heart attacks", US_national_yearly!$D:$AM, 34, FALSE) / VLOOKUP("electricity|SO2|Non-fatal heart attacks", US_national_yearly!$D:$AM, 10, FALSE), 1)</f>
        <v>8.3054398724751371E-6</v>
      </c>
      <c r="AA13" s="7">
        <f>$B13 * IFERROR(VLOOKUP("electricity|SO2|Non-fatal heart attacks", US_national_yearly!$D:$AM, 35, FALSE) / VLOOKUP("electricity|SO2|Non-fatal heart attacks", US_national_yearly!$D:$AM, 10, FALSE), 1)</f>
        <v>8.3420860524995097E-6</v>
      </c>
      <c r="AB13" s="7">
        <f>$B13 * IFERROR(VLOOKUP("electricity|SO2|Non-fatal heart attacks", US_national_yearly!$D:$AM, 36, FALSE) / VLOOKUP("electricity|SO2|Non-fatal heart attacks", US_national_yearly!$D:$AM, 10, FALSE), 1)</f>
        <v>8.3787322325238805E-6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2.2865087999839225E-2</v>
      </c>
      <c r="C14" s="7">
        <f>$B14 * IFERROR(VLOOKUP("electricity|SO2|Minor restricted activity days", US_national_yearly!$D:$AM, 11, FALSE) / VLOOKUP("electricity|SO2|Minor restricted activity days", US_national_yearly!$D:$AM, 10, FALSE), 1)</f>
        <v>2.2922546872175032E-2</v>
      </c>
      <c r="D14" s="7">
        <f>$B14 * IFERROR(VLOOKUP("electricity|SO2|Minor restricted activity days", US_national_yearly!$D:$AM, 12, FALSE) / VLOOKUP("electricity|SO2|Minor restricted activity days", US_national_yearly!$D:$AM, 10, FALSE), 1)</f>
        <v>2.298000574451084E-2</v>
      </c>
      <c r="E14" s="7">
        <f>$B14 * IFERROR(VLOOKUP("electricity|SO2|Minor restricted activity days", US_national_yearly!$D:$AM, 13, FALSE) / VLOOKUP("electricity|SO2|Minor restricted activity days", US_national_yearly!$D:$AM, 10, FALSE), 1)</f>
        <v>2.3037464616846651E-2</v>
      </c>
      <c r="F14" s="7">
        <f>$B14 * IFERROR(VLOOKUP("electricity|SO2|Minor restricted activity days", US_national_yearly!$D:$AM, 14, FALSE) / VLOOKUP("electricity|SO2|Minor restricted activity days", US_national_yearly!$D:$AM, 10, FALSE), 1)</f>
        <v>2.3094923489182455E-2</v>
      </c>
      <c r="G14" s="7">
        <f>$B14 * IFERROR(VLOOKUP("electricity|SO2|Minor restricted activity days", US_national_yearly!$D:$AM, 15, FALSE) / VLOOKUP("electricity|SO2|Minor restricted activity days", US_national_yearly!$D:$AM, 10, FALSE), 1)</f>
        <v>2.3177939137474915E-2</v>
      </c>
      <c r="H14" s="7">
        <f>$B14 * IFERROR(VLOOKUP("electricity|SO2|Minor restricted activity days", US_national_yearly!$D:$AM, 16, FALSE) / VLOOKUP("electricity|SO2|Minor restricted activity days", US_national_yearly!$D:$AM, 10, FALSE), 1)</f>
        <v>2.3260954785767375E-2</v>
      </c>
      <c r="I14" s="7">
        <f>$B14 * IFERROR(VLOOKUP("electricity|SO2|Minor restricted activity days", US_national_yearly!$D:$AM, 17, FALSE) / VLOOKUP("electricity|SO2|Minor restricted activity days", US_national_yearly!$D:$AM, 10, FALSE), 1)</f>
        <v>2.3403333014062135E-2</v>
      </c>
      <c r="J14" s="7">
        <f>$B14 * IFERROR(VLOOKUP("electricity|SO2|Minor restricted activity days", US_national_yearly!$D:$AM, 18, FALSE) / VLOOKUP("electricity|SO2|Minor restricted activity days", US_national_yearly!$D:$AM, 10, FALSE), 1)</f>
        <v>2.3545711242356902E-2</v>
      </c>
      <c r="K14" s="7">
        <f>$B14 * IFERROR(VLOOKUP("electricity|SO2|Minor restricted activity days", US_national_yearly!$D:$AM, 19, FALSE) / VLOOKUP("electricity|SO2|Minor restricted activity days", US_national_yearly!$D:$AM, 10, FALSE), 1)</f>
        <v>2.3688089470651662E-2</v>
      </c>
      <c r="L14" s="7">
        <f>$B14 * IFERROR(VLOOKUP("electricity|SO2|Minor restricted activity days", US_national_yearly!$D:$AM, 20, FALSE) / VLOOKUP("electricity|SO2|Minor restricted activity days", US_national_yearly!$D:$AM, 10, FALSE), 1)</f>
        <v>2.3830467698946436E-2</v>
      </c>
      <c r="M14" s="7">
        <f>$B14 * IFERROR(VLOOKUP("electricity|SO2|Minor restricted activity days", US_national_yearly!$D:$AM, 21, FALSE) / VLOOKUP("electricity|SO2|Minor restricted activity days", US_national_yearly!$D:$AM, 10, FALSE), 1)</f>
        <v>2.3972845927241197E-2</v>
      </c>
      <c r="N14" s="7">
        <f>$B14 * IFERROR(VLOOKUP("electricity|SO2|Minor restricted activity days", US_national_yearly!$D:$AM, 22, FALSE) / VLOOKUP("electricity|SO2|Minor restricted activity days", US_national_yearly!$D:$AM, 10, FALSE), 1)</f>
        <v>2.4168921313774211E-2</v>
      </c>
      <c r="O14" s="7">
        <f>$B14 * IFERROR(VLOOKUP("electricity|SO2|Minor restricted activity days", US_national_yearly!$D:$AM, 23, FALSE) / VLOOKUP("electricity|SO2|Minor restricted activity days", US_national_yearly!$D:$AM, 10, FALSE), 1)</f>
        <v>2.4364996700307222E-2</v>
      </c>
      <c r="P14" s="7">
        <f>$B14 * IFERROR(VLOOKUP("electricity|SO2|Minor restricted activity days", US_national_yearly!$D:$AM, 24, FALSE) / VLOOKUP("electricity|SO2|Minor restricted activity days", US_national_yearly!$D:$AM, 10, FALSE), 1)</f>
        <v>2.4561072086840233E-2</v>
      </c>
      <c r="Q14" s="7">
        <f>$B14 * IFERROR(VLOOKUP("electricity|SO2|Minor restricted activity days", US_national_yearly!$D:$AM, 25, FALSE) / VLOOKUP("electricity|SO2|Minor restricted activity days", US_national_yearly!$D:$AM, 10, FALSE), 1)</f>
        <v>2.4757147473373251E-2</v>
      </c>
      <c r="R14" s="7">
        <f>$B14 * IFERROR(VLOOKUP("electricity|SO2|Minor restricted activity days", US_national_yearly!$D:$AM, 26, FALSE) / VLOOKUP("electricity|SO2|Minor restricted activity days", US_national_yearly!$D:$AM, 10, FALSE), 1)</f>
        <v>2.4953222859906261E-2</v>
      </c>
      <c r="S14" s="7">
        <f>$B14 * IFERROR(VLOOKUP("electricity|SO2|Minor restricted activity days", US_national_yearly!$D:$AM, 27, FALSE) / VLOOKUP("electricity|SO2|Minor restricted activity days", US_national_yearly!$D:$AM, 10, FALSE), 1)</f>
        <v>2.5154231044073952E-2</v>
      </c>
      <c r="T14" s="7">
        <f>$B14 * IFERROR(VLOOKUP("electricity|SO2|Minor restricted activity days", US_national_yearly!$D:$AM, 28, FALSE) / VLOOKUP("electricity|SO2|Minor restricted activity days", US_national_yearly!$D:$AM, 10, FALSE), 1)</f>
        <v>2.5355239228241643E-2</v>
      </c>
      <c r="U14" s="7">
        <f>$B14 * IFERROR(VLOOKUP("electricity|SO2|Minor restricted activity days", US_national_yearly!$D:$AM, 29, FALSE) / VLOOKUP("electricity|SO2|Minor restricted activity days", US_national_yearly!$D:$AM, 10, FALSE), 1)</f>
        <v>2.5556247412409326E-2</v>
      </c>
      <c r="V14" s="7">
        <f>$B14 * IFERROR(VLOOKUP("electricity|SO2|Minor restricted activity days", US_national_yearly!$D:$AM, 30, FALSE) / VLOOKUP("electricity|SO2|Minor restricted activity days", US_national_yearly!$D:$AM, 10, FALSE), 1)</f>
        <v>2.5757255596577017E-2</v>
      </c>
      <c r="W14" s="7">
        <f>$B14 * IFERROR(VLOOKUP("electricity|SO2|Minor restricted activity days", US_national_yearly!$D:$AM, 31, FALSE) / VLOOKUP("electricity|SO2|Minor restricted activity days", US_national_yearly!$D:$AM, 10, FALSE), 1)</f>
        <v>2.5958263780744707E-2</v>
      </c>
      <c r="X14" s="7">
        <f>$B14 * IFERROR(VLOOKUP("electricity|SO2|Minor restricted activity days", US_national_yearly!$D:$AM, 32, FALSE) / VLOOKUP("electricity|SO2|Minor restricted activity days", US_national_yearly!$D:$AM, 10, FALSE), 1)</f>
        <v>2.6135128952829705E-2</v>
      </c>
      <c r="Y14" s="7">
        <f>$B14 * IFERROR(VLOOKUP("electricity|SO2|Minor restricted activity days", US_national_yearly!$D:$AM, 33, FALSE) / VLOOKUP("electricity|SO2|Minor restricted activity days", US_national_yearly!$D:$AM, 10, FALSE), 1)</f>
        <v>2.6311994124914695E-2</v>
      </c>
      <c r="Z14" s="7">
        <f>$B14 * IFERROR(VLOOKUP("electricity|SO2|Minor restricted activity days", US_national_yearly!$D:$AM, 34, FALSE) / VLOOKUP("electricity|SO2|Minor restricted activity days", US_national_yearly!$D:$AM, 10, FALSE), 1)</f>
        <v>2.6488859296999685E-2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2.6665724469084683E-2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2.6842589641169673E-2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3.859227642172891E-3</v>
      </c>
      <c r="C15" s="7">
        <f>$B15 * IFERROR(VLOOKUP("electricity|SO2|Work loss days", US_national_yearly!$D:$AM, 11, FALSE) / VLOOKUP("electricity|SO2|Work loss days", US_national_yearly!$D:$AM, 10, FALSE), 1)</f>
        <v>3.8717239379935323E-3</v>
      </c>
      <c r="D15" s="7">
        <f>$B15 * IFERROR(VLOOKUP("electricity|SO2|Work loss days", US_national_yearly!$D:$AM, 12, FALSE) / VLOOKUP("electricity|SO2|Work loss days", US_national_yearly!$D:$AM, 10, FALSE), 1)</f>
        <v>3.8842202338141736E-3</v>
      </c>
      <c r="E15" s="7">
        <f>$B15 * IFERROR(VLOOKUP("electricity|SO2|Work loss days", US_national_yearly!$D:$AM, 13, FALSE) / VLOOKUP("electricity|SO2|Work loss days", US_national_yearly!$D:$AM, 10, FALSE), 1)</f>
        <v>3.8967165296348158E-3</v>
      </c>
      <c r="F15" s="7">
        <f>$B15 * IFERROR(VLOOKUP("electricity|SO2|Work loss days", US_national_yearly!$D:$AM, 14, FALSE) / VLOOKUP("electricity|SO2|Work loss days", US_national_yearly!$D:$AM, 10, FALSE), 1)</f>
        <v>3.909212825455457E-3</v>
      </c>
      <c r="G15" s="7">
        <f>$B15 * IFERROR(VLOOKUP("electricity|SO2|Work loss days", US_national_yearly!$D:$AM, 15, FALSE) / VLOOKUP("electricity|SO2|Work loss days", US_national_yearly!$D:$AM, 10, FALSE), 1)</f>
        <v>3.9252213547215295E-3</v>
      </c>
      <c r="H15" s="7">
        <f>$B15 * IFERROR(VLOOKUP("electricity|SO2|Work loss days", US_national_yearly!$D:$AM, 16, FALSE) / VLOOKUP("electricity|SO2|Work loss days", US_national_yearly!$D:$AM, 10, FALSE), 1)</f>
        <v>3.9412298839876011E-3</v>
      </c>
      <c r="I15" s="7">
        <f>$B15 * IFERROR(VLOOKUP("electricity|SO2|Work loss days", US_national_yearly!$D:$AM, 17, FALSE) / VLOOKUP("electricity|SO2|Work loss days", US_national_yearly!$D:$AM, 10, FALSE), 1)</f>
        <v>3.9646522453720958E-3</v>
      </c>
      <c r="J15" s="7">
        <f>$B15 * IFERROR(VLOOKUP("electricity|SO2|Work loss days", US_national_yearly!$D:$AM, 18, FALSE) / VLOOKUP("electricity|SO2|Work loss days", US_national_yearly!$D:$AM, 10, FALSE), 1)</f>
        <v>3.9880746067565897E-3</v>
      </c>
      <c r="K15" s="7">
        <f>$B15 * IFERROR(VLOOKUP("electricity|SO2|Work loss days", US_national_yearly!$D:$AM, 19, FALSE) / VLOOKUP("electricity|SO2|Work loss days", US_national_yearly!$D:$AM, 10, FALSE), 1)</f>
        <v>4.0114969681410845E-3</v>
      </c>
      <c r="L15" s="7">
        <f>$B15 * IFERROR(VLOOKUP("electricity|SO2|Work loss days", US_national_yearly!$D:$AM, 20, FALSE) / VLOOKUP("electricity|SO2|Work loss days", US_national_yearly!$D:$AM, 10, FALSE), 1)</f>
        <v>4.0349193295255784E-3</v>
      </c>
      <c r="M15" s="7">
        <f>$B15 * IFERROR(VLOOKUP("electricity|SO2|Work loss days", US_national_yearly!$D:$AM, 21, FALSE) / VLOOKUP("electricity|SO2|Work loss days", US_national_yearly!$D:$AM, 10, FALSE), 1)</f>
        <v>4.058341690910074E-3</v>
      </c>
      <c r="N15" s="7">
        <f>$B15 * IFERROR(VLOOKUP("electricity|SO2|Work loss days", US_national_yearly!$D:$AM, 22, FALSE) / VLOOKUP("electricity|SO2|Work loss days", US_national_yearly!$D:$AM, 10, FALSE), 1)</f>
        <v>4.0879768030678458E-3</v>
      </c>
      <c r="O15" s="7">
        <f>$B15 * IFERROR(VLOOKUP("electricity|SO2|Work loss days", US_national_yearly!$D:$AM, 23, FALSE) / VLOOKUP("electricity|SO2|Work loss days", US_national_yearly!$D:$AM, 10, FALSE), 1)</f>
        <v>4.1176119152256177E-3</v>
      </c>
      <c r="P15" s="7">
        <f>$B15 * IFERROR(VLOOKUP("electricity|SO2|Work loss days", US_national_yearly!$D:$AM, 24, FALSE) / VLOOKUP("electricity|SO2|Work loss days", US_national_yearly!$D:$AM, 10, FALSE), 1)</f>
        <v>4.1472470273833904E-3</v>
      </c>
      <c r="Q15" s="7">
        <f>$B15 * IFERROR(VLOOKUP("electricity|SO2|Work loss days", US_national_yearly!$D:$AM, 25, FALSE) / VLOOKUP("electricity|SO2|Work loss days", US_national_yearly!$D:$AM, 10, FALSE), 1)</f>
        <v>4.1768821395411614E-3</v>
      </c>
      <c r="R15" s="7">
        <f>$B15 * IFERROR(VLOOKUP("electricity|SO2|Work loss days", US_national_yearly!$D:$AM, 26, FALSE) / VLOOKUP("electricity|SO2|Work loss days", US_national_yearly!$D:$AM, 10, FALSE), 1)</f>
        <v>4.2065172516989342E-3</v>
      </c>
      <c r="S15" s="7">
        <f>$B15 * IFERROR(VLOOKUP("electricity|SO2|Work loss days", US_national_yearly!$D:$AM, 27, FALSE) / VLOOKUP("electricity|SO2|Work loss days", US_national_yearly!$D:$AM, 10, FALSE), 1)</f>
        <v>4.2397409778894331E-3</v>
      </c>
      <c r="T15" s="7">
        <f>$B15 * IFERROR(VLOOKUP("electricity|SO2|Work loss days", US_national_yearly!$D:$AM, 28, FALSE) / VLOOKUP("electricity|SO2|Work loss days", US_national_yearly!$D:$AM, 10, FALSE), 1)</f>
        <v>4.2729647040799339E-3</v>
      </c>
      <c r="U15" s="7">
        <f>$B15 * IFERROR(VLOOKUP("electricity|SO2|Work loss days", US_national_yearly!$D:$AM, 29, FALSE) / VLOOKUP("electricity|SO2|Work loss days", US_national_yearly!$D:$AM, 10, FALSE), 1)</f>
        <v>4.3061884302704346E-3</v>
      </c>
      <c r="V15" s="7">
        <f>$B15 * IFERROR(VLOOKUP("electricity|SO2|Work loss days", US_national_yearly!$D:$AM, 30, FALSE) / VLOOKUP("electricity|SO2|Work loss days", US_national_yearly!$D:$AM, 10, FALSE), 1)</f>
        <v>4.3394121564609344E-3</v>
      </c>
      <c r="W15" s="7">
        <f>$B15 * IFERROR(VLOOKUP("electricity|SO2|Work loss days", US_national_yearly!$D:$AM, 31, FALSE) / VLOOKUP("electricity|SO2|Work loss days", US_national_yearly!$D:$AM, 10, FALSE), 1)</f>
        <v>4.3726358826514352E-3</v>
      </c>
      <c r="X15" s="7">
        <f>$B15 * IFERROR(VLOOKUP("electricity|SO2|Work loss days", US_national_yearly!$D:$AM, 32, FALSE) / VLOOKUP("electricity|SO2|Work loss days", US_national_yearly!$D:$AM, 10, FALSE), 1)</f>
        <v>4.4025671739274103E-3</v>
      </c>
      <c r="Y15" s="7">
        <f>$B15 * IFERROR(VLOOKUP("electricity|SO2|Work loss days", US_national_yearly!$D:$AM, 33, FALSE) / VLOOKUP("electricity|SO2|Work loss days", US_national_yearly!$D:$AM, 10, FALSE), 1)</f>
        <v>4.4324984652033854E-3</v>
      </c>
      <c r="Z15" s="7">
        <f>$B15 * IFERROR(VLOOKUP("electricity|SO2|Work loss days", US_national_yearly!$D:$AM, 34, FALSE) / VLOOKUP("electricity|SO2|Work loss days", US_national_yearly!$D:$AM, 10, FALSE), 1)</f>
        <v>4.4624297564793596E-3</v>
      </c>
      <c r="AA15" s="7">
        <f>$B15 * IFERROR(VLOOKUP("electricity|SO2|Work loss days", US_national_yearly!$D:$AM, 35, FALSE) / VLOOKUP("electricity|SO2|Work loss days", US_national_yearly!$D:$AM, 10, FALSE), 1)</f>
        <v>4.4923610477553347E-3</v>
      </c>
      <c r="AB15" s="7">
        <f>$B15 * IFERROR(VLOOKUP("electricity|SO2|Work loss days", US_national_yearly!$D:$AM, 36, FALSE) / VLOOKUP("electricity|SO2|Work loss days", US_national_yearly!$D:$AM, 10, FALSE), 1)</f>
        <v>4.5222923390313098E-3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6.638006252867704E-6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6.8391562948054451E-6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7.0403063367431861E-6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7.2414563786809289E-6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7.44260642061867E-6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7.6365022434542615E-6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7.8303980662898538E-6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7.9982615406540602E-6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8.1661250150182682E-6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8.3339884893824763E-6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8.5018519637466809E-6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8.669715438110889E-6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8.7842818118209029E-6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8.8988481855309152E-6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9.0134145592409308E-6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9.1279809329509448E-6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9.2425473066609571E-6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9.3053546915123177E-6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9.3681620763636749E-6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9.4309694612150338E-6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9.4937768460663927E-6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9.5565842309177499E-6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9.599939403750124E-6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9.6432945765824947E-6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9.6866497494148688E-6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9.7300049222472412E-6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9.7733600950796136E-6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2.3567326351054151E-3</v>
      </c>
      <c r="C2" s="7">
        <f>$B2 * IFERROR(VLOOKUP("buildings|PM25|Premature mortality", US_national_yearly!$D:$AM, 11, FALSE) / VLOOKUP("buildings|PM25|Premature mortality", US_national_yearly!$D:$AM, 10, FALSE), 1)</f>
        <v>2.3859721182610929E-3</v>
      </c>
      <c r="D2" s="7">
        <f>$B2 * IFERROR(VLOOKUP("buildings|PM25|Premature mortality", US_national_yearly!$D:$AM, 12, FALSE) / VLOOKUP("buildings|PM25|Premature mortality", US_national_yearly!$D:$AM, 10, FALSE), 1)</f>
        <v>2.415211601416771E-3</v>
      </c>
      <c r="E2" s="7">
        <f>$B2 * IFERROR(VLOOKUP("buildings|PM25|Premature mortality", US_national_yearly!$D:$AM, 13, FALSE) / VLOOKUP("buildings|PM25|Premature mortality", US_national_yearly!$D:$AM, 10, FALSE), 1)</f>
        <v>2.4444510845724487E-3</v>
      </c>
      <c r="F2" s="7">
        <f>$B2 * IFERROR(VLOOKUP("buildings|PM25|Premature mortality", US_national_yearly!$D:$AM, 14, FALSE) / VLOOKUP("buildings|PM25|Premature mortality", US_national_yearly!$D:$AM, 10, FALSE), 1)</f>
        <v>2.4736905677281268E-3</v>
      </c>
      <c r="G2" s="7">
        <f>$B2 * IFERROR(VLOOKUP("buildings|PM25|Premature mortality", US_national_yearly!$D:$AM, 15, FALSE) / VLOOKUP("buildings|PM25|Premature mortality", US_national_yearly!$D:$AM, 10, FALSE), 1)</f>
        <v>2.5306258376045299E-3</v>
      </c>
      <c r="H2" s="7">
        <f>$B2 * IFERROR(VLOOKUP("buildings|PM25|Premature mortality", US_national_yearly!$D:$AM, 16, FALSE) / VLOOKUP("buildings|PM25|Premature mortality", US_national_yearly!$D:$AM, 10, FALSE), 1)</f>
        <v>2.5875611074809334E-3</v>
      </c>
      <c r="I2" s="7">
        <f>$B2 * IFERROR(VLOOKUP("buildings|PM25|Premature mortality", US_national_yearly!$D:$AM, 17, FALSE) / VLOOKUP("buildings|PM25|Premature mortality", US_national_yearly!$D:$AM, 10, FALSE), 1)</f>
        <v>2.6250064538235322E-3</v>
      </c>
      <c r="J2" s="7">
        <f>$B2 * IFERROR(VLOOKUP("buildings|PM25|Premature mortality", US_national_yearly!$D:$AM, 18, FALSE) / VLOOKUP("buildings|PM25|Premature mortality", US_national_yearly!$D:$AM, 10, FALSE), 1)</f>
        <v>2.662451800166131E-3</v>
      </c>
      <c r="K2" s="7">
        <f>$B2 * IFERROR(VLOOKUP("buildings|PM25|Premature mortality", US_national_yearly!$D:$AM, 19, FALSE) / VLOOKUP("buildings|PM25|Premature mortality", US_national_yearly!$D:$AM, 10, FALSE), 1)</f>
        <v>2.6998971465087298E-3</v>
      </c>
      <c r="L2" s="7">
        <f>$B2 * IFERROR(VLOOKUP("buildings|PM25|Premature mortality", US_national_yearly!$D:$AM, 20, FALSE) / VLOOKUP("buildings|PM25|Premature mortality", US_national_yearly!$D:$AM, 10, FALSE), 1)</f>
        <v>2.7373424928513286E-3</v>
      </c>
      <c r="M2" s="7">
        <f>$B2 * IFERROR(VLOOKUP("buildings|PM25|Premature mortality", US_national_yearly!$D:$AM, 21, FALSE) / VLOOKUP("buildings|PM25|Premature mortality", US_national_yearly!$D:$AM, 10, FALSE), 1)</f>
        <v>2.7747878391939274E-3</v>
      </c>
      <c r="N2" s="7">
        <f>$B2 * IFERROR(VLOOKUP("buildings|PM25|Premature mortality", US_national_yearly!$D:$AM, 22, FALSE) / VLOOKUP("buildings|PM25|Premature mortality", US_national_yearly!$D:$AM, 10, FALSE), 1)</f>
        <v>2.8039057577189481E-3</v>
      </c>
      <c r="O2" s="7">
        <f>$B2 * IFERROR(VLOOKUP("buildings|PM25|Premature mortality", US_national_yearly!$D:$AM, 23, FALSE) / VLOOKUP("buildings|PM25|Premature mortality", US_national_yearly!$D:$AM, 10, FALSE), 1)</f>
        <v>2.8330236762439693E-3</v>
      </c>
      <c r="P2" s="7">
        <f>$B2 * IFERROR(VLOOKUP("buildings|PM25|Premature mortality", US_national_yearly!$D:$AM, 24, FALSE) / VLOOKUP("buildings|PM25|Premature mortality", US_national_yearly!$D:$AM, 10, FALSE), 1)</f>
        <v>2.86214159476899E-3</v>
      </c>
      <c r="Q2" s="7">
        <f>$B2 * IFERROR(VLOOKUP("buildings|PM25|Premature mortality", US_national_yearly!$D:$AM, 25, FALSE) / VLOOKUP("buildings|PM25|Premature mortality", US_national_yearly!$D:$AM, 10, FALSE), 1)</f>
        <v>2.8912595132940117E-3</v>
      </c>
      <c r="R2" s="7">
        <f>$B2 * IFERROR(VLOOKUP("buildings|PM25|Premature mortality", US_national_yearly!$D:$AM, 26, FALSE) / VLOOKUP("buildings|PM25|Premature mortality", US_national_yearly!$D:$AM, 10, FALSE), 1)</f>
        <v>2.9203774318190324E-3</v>
      </c>
      <c r="S2" s="7">
        <f>$B2 * IFERROR(VLOOKUP("buildings|PM25|Premature mortality", US_national_yearly!$D:$AM, 27, FALSE) / VLOOKUP("buildings|PM25|Premature mortality", US_national_yearly!$D:$AM, 10, FALSE), 1)</f>
        <v>2.9358538947398065E-3</v>
      </c>
      <c r="T2" s="7">
        <f>$B2 * IFERROR(VLOOKUP("buildings|PM25|Premature mortality", US_national_yearly!$D:$AM, 28, FALSE) / VLOOKUP("buildings|PM25|Premature mortality", US_national_yearly!$D:$AM, 10, FALSE), 1)</f>
        <v>2.9513303576605811E-3</v>
      </c>
      <c r="U2" s="7">
        <f>$B2 * IFERROR(VLOOKUP("buildings|PM25|Premature mortality", US_national_yearly!$D:$AM, 29, FALSE) / VLOOKUP("buildings|PM25|Premature mortality", US_national_yearly!$D:$AM, 10, FALSE), 1)</f>
        <v>2.9668068205813553E-3</v>
      </c>
      <c r="V2" s="7">
        <f>$B2 * IFERROR(VLOOKUP("buildings|PM25|Premature mortality", US_national_yearly!$D:$AM, 30, FALSE) / VLOOKUP("buildings|PM25|Premature mortality", US_national_yearly!$D:$AM, 10, FALSE), 1)</f>
        <v>2.9822832835021298E-3</v>
      </c>
      <c r="W2" s="7">
        <f>$B2 * IFERROR(VLOOKUP("buildings|PM25|Premature mortality", US_national_yearly!$D:$AM, 31, FALSE) / VLOOKUP("buildings|PM25|Premature mortality", US_national_yearly!$D:$AM, 10, FALSE), 1)</f>
        <v>2.997759746422904E-3</v>
      </c>
      <c r="X2" s="7">
        <f>$B2 * IFERROR(VLOOKUP("buildings|PM25|Premature mortality", US_national_yearly!$D:$AM, 32, FALSE) / VLOOKUP("buildings|PM25|Premature mortality", US_national_yearly!$D:$AM, 10, FALSE), 1)</f>
        <v>3.0005376472695801E-3</v>
      </c>
      <c r="Y2" s="7">
        <f>$B2 * IFERROR(VLOOKUP("buildings|PM25|Premature mortality", US_national_yearly!$D:$AM, 33, FALSE) / VLOOKUP("buildings|PM25|Premature mortality", US_national_yearly!$D:$AM, 10, FALSE), 1)</f>
        <v>3.0033155481162563E-3</v>
      </c>
      <c r="Z2" s="7">
        <f>$B2 * IFERROR(VLOOKUP("buildings|PM25|Premature mortality", US_national_yearly!$D:$AM, 34, FALSE) / VLOOKUP("buildings|PM25|Premature mortality", US_national_yearly!$D:$AM, 10, FALSE), 1)</f>
        <v>3.0060934489629324E-3</v>
      </c>
      <c r="AA2" s="7">
        <f>$B2 * IFERROR(VLOOKUP("buildings|PM25|Premature mortality", US_national_yearly!$D:$AM, 35, FALSE) / VLOOKUP("buildings|PM25|Premature mortality", US_national_yearly!$D:$AM, 10, FALSE), 1)</f>
        <v>3.008871349809609E-3</v>
      </c>
      <c r="AB2" s="7">
        <f>$B2 * IFERROR(VLOOKUP("buildings|PM25|Premature mortality", US_national_yearly!$D:$AM, 36, FALSE) / VLOOKUP("buildings|PM25|Premature mortality", US_national_yearly!$D:$AM, 10, FALSE), 1)</f>
        <v>3.0116492506562847E-3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4.7780451707928626E-6</v>
      </c>
      <c r="C3" s="7">
        <f>$B3 * IFERROR(VLOOKUP("buildings|PM25|Infant mortality", US_national_yearly!$D:$AM, 11, FALSE) / VLOOKUP("buildings|PM25|Infant mortality", US_national_yearly!$D:$AM, 10, FALSE), 1)</f>
        <v>4.7366595704005581E-6</v>
      </c>
      <c r="D3" s="7">
        <f>$B3 * IFERROR(VLOOKUP("buildings|PM25|Infant mortality", US_national_yearly!$D:$AM, 12, FALSE) / VLOOKUP("buildings|PM25|Infant mortality", US_national_yearly!$D:$AM, 10, FALSE), 1)</f>
        <v>4.6952739700082526E-6</v>
      </c>
      <c r="E3" s="7">
        <f>$B3 * IFERROR(VLOOKUP("buildings|PM25|Infant mortality", US_national_yearly!$D:$AM, 13, FALSE) / VLOOKUP("buildings|PM25|Infant mortality", US_national_yearly!$D:$AM, 10, FALSE), 1)</f>
        <v>4.653888369615948E-6</v>
      </c>
      <c r="F3" s="7">
        <f>$B3 * IFERROR(VLOOKUP("buildings|PM25|Infant mortality", US_national_yearly!$D:$AM, 14, FALSE) / VLOOKUP("buildings|PM25|Infant mortality", US_national_yearly!$D:$AM, 10, FALSE), 1)</f>
        <v>4.6125027692236435E-6</v>
      </c>
      <c r="G3" s="7">
        <f>$B3 * IFERROR(VLOOKUP("buildings|PM25|Infant mortality", US_national_yearly!$D:$AM, 15, FALSE) / VLOOKUP("buildings|PM25|Infant mortality", US_national_yearly!$D:$AM, 10, FALSE), 1)</f>
        <v>3.0671470037375456E-6</v>
      </c>
      <c r="H3" s="7">
        <f>$B3 * IFERROR(VLOOKUP("buildings|PM25|Infant mortality", US_national_yearly!$D:$AM, 16, FALSE) / VLOOKUP("buildings|PM25|Infant mortality", US_national_yearly!$D:$AM, 10, FALSE), 1)</f>
        <v>1.521791238251448E-6</v>
      </c>
      <c r="I3" s="7">
        <f>$B3 * IFERROR(VLOOKUP("buildings|PM25|Infant mortality", US_national_yearly!$D:$AM, 17, FALSE) / VLOOKUP("buildings|PM25|Infant mortality", US_national_yearly!$D:$AM, 10, FALSE), 1)</f>
        <v>1.5118746292575489E-6</v>
      </c>
      <c r="J3" s="7">
        <f>$B3 * IFERROR(VLOOKUP("buildings|PM25|Infant mortality", US_national_yearly!$D:$AM, 18, FALSE) / VLOOKUP("buildings|PM25|Infant mortality", US_national_yearly!$D:$AM, 10, FALSE), 1)</f>
        <v>1.5019580202636498E-6</v>
      </c>
      <c r="K3" s="7">
        <f>$B3 * IFERROR(VLOOKUP("buildings|PM25|Infant mortality", US_national_yearly!$D:$AM, 19, FALSE) / VLOOKUP("buildings|PM25|Infant mortality", US_national_yearly!$D:$AM, 10, FALSE), 1)</f>
        <v>1.4920414112697504E-6</v>
      </c>
      <c r="L3" s="7">
        <f>$B3 * IFERROR(VLOOKUP("buildings|PM25|Infant mortality", US_national_yearly!$D:$AM, 20, FALSE) / VLOOKUP("buildings|PM25|Infant mortality", US_national_yearly!$D:$AM, 10, FALSE), 1)</f>
        <v>1.4821248022758512E-6</v>
      </c>
      <c r="M3" s="7">
        <f>$B3 * IFERROR(VLOOKUP("buildings|PM25|Infant mortality", US_national_yearly!$D:$AM, 21, FALSE) / VLOOKUP("buildings|PM25|Infant mortality", US_national_yearly!$D:$AM, 10, FALSE), 1)</f>
        <v>1.4722081932819521E-6</v>
      </c>
      <c r="N3" s="7">
        <f>$B3 * IFERROR(VLOOKUP("buildings|PM25|Infant mortality", US_national_yearly!$D:$AM, 22, FALSE) / VLOOKUP("buildings|PM25|Infant mortality", US_national_yearly!$D:$AM, 10, FALSE), 1)</f>
        <v>1.4660034135928672E-6</v>
      </c>
      <c r="O3" s="7">
        <f>$B3 * IFERROR(VLOOKUP("buildings|PM25|Infant mortality", US_national_yearly!$D:$AM, 23, FALSE) / VLOOKUP("buildings|PM25|Infant mortality", US_national_yearly!$D:$AM, 10, FALSE), 1)</f>
        <v>1.4597986339037825E-6</v>
      </c>
      <c r="P3" s="7">
        <f>$B3 * IFERROR(VLOOKUP("buildings|PM25|Infant mortality", US_national_yearly!$D:$AM, 24, FALSE) / VLOOKUP("buildings|PM25|Infant mortality", US_national_yearly!$D:$AM, 10, FALSE), 1)</f>
        <v>1.4535938542146975E-6</v>
      </c>
      <c r="Q3" s="7">
        <f>$B3 * IFERROR(VLOOKUP("buildings|PM25|Infant mortality", US_national_yearly!$D:$AM, 25, FALSE) / VLOOKUP("buildings|PM25|Infant mortality", US_national_yearly!$D:$AM, 10, FALSE), 1)</f>
        <v>1.4473890745256128E-6</v>
      </c>
      <c r="R3" s="7">
        <f>$B3 * IFERROR(VLOOKUP("buildings|PM25|Infant mortality", US_national_yearly!$D:$AM, 26, FALSE) / VLOOKUP("buildings|PM25|Infant mortality", US_national_yearly!$D:$AM, 10, FALSE), 1)</f>
        <v>1.4411842948365279E-6</v>
      </c>
      <c r="S3" s="7">
        <f>$B3 * IFERROR(VLOOKUP("buildings|PM25|Infant mortality", US_national_yearly!$D:$AM, 27, FALSE) / VLOOKUP("buildings|PM25|Infant mortality", US_national_yearly!$D:$AM, 10, FALSE), 1)</f>
        <v>1.4334372007380342E-6</v>
      </c>
      <c r="T3" s="7">
        <f>$B3 * IFERROR(VLOOKUP("buildings|PM25|Infant mortality", US_national_yearly!$D:$AM, 28, FALSE) / VLOOKUP("buildings|PM25|Infant mortality", US_national_yearly!$D:$AM, 10, FALSE), 1)</f>
        <v>1.4256901066395409E-6</v>
      </c>
      <c r="U3" s="7">
        <f>$B3 * IFERROR(VLOOKUP("buildings|PM25|Infant mortality", US_national_yearly!$D:$AM, 29, FALSE) / VLOOKUP("buildings|PM25|Infant mortality", US_national_yearly!$D:$AM, 10, FALSE), 1)</f>
        <v>1.4179430125410469E-6</v>
      </c>
      <c r="V3" s="7">
        <f>$B3 * IFERROR(VLOOKUP("buildings|PM25|Infant mortality", US_national_yearly!$D:$AM, 30, FALSE) / VLOOKUP("buildings|PM25|Infant mortality", US_national_yearly!$D:$AM, 10, FALSE), 1)</f>
        <v>1.4101959184425536E-6</v>
      </c>
      <c r="W3" s="7">
        <f>$B3 * IFERROR(VLOOKUP("buildings|PM25|Infant mortality", US_national_yearly!$D:$AM, 31, FALSE) / VLOOKUP("buildings|PM25|Infant mortality", US_national_yearly!$D:$AM, 10, FALSE), 1)</f>
        <v>1.4024488243440599E-6</v>
      </c>
      <c r="X3" s="7">
        <f>$B3 * IFERROR(VLOOKUP("buildings|PM25|Infant mortality", US_national_yearly!$D:$AM, 32, FALSE) / VLOOKUP("buildings|PM25|Infant mortality", US_national_yearly!$D:$AM, 10, FALSE), 1)</f>
        <v>1.394108080078971E-6</v>
      </c>
      <c r="Y3" s="7">
        <f>$B3 * IFERROR(VLOOKUP("buildings|PM25|Infant mortality", US_national_yearly!$D:$AM, 33, FALSE) / VLOOKUP("buildings|PM25|Infant mortality", US_national_yearly!$D:$AM, 10, FALSE), 1)</f>
        <v>1.3857673358138823E-6</v>
      </c>
      <c r="Z3" s="7">
        <f>$B3 * IFERROR(VLOOKUP("buildings|PM25|Infant mortality", US_national_yearly!$D:$AM, 34, FALSE) / VLOOKUP("buildings|PM25|Infant mortality", US_national_yearly!$D:$AM, 10, FALSE), 1)</f>
        <v>1.3774265915487932E-6</v>
      </c>
      <c r="AA3" s="7">
        <f>$B3 * IFERROR(VLOOKUP("buildings|PM25|Infant mortality", US_national_yearly!$D:$AM, 35, FALSE) / VLOOKUP("buildings|PM25|Infant mortality", US_national_yearly!$D:$AM, 10, FALSE), 1)</f>
        <v>1.3690858472837043E-6</v>
      </c>
      <c r="AB3" s="7">
        <f>$B3 * IFERROR(VLOOKUP("buildings|PM25|Infant mortality", US_national_yearly!$D:$AM, 36, FALSE) / VLOOKUP("buildings|PM25|Infant mortality", US_national_yearly!$D:$AM, 10, FALSE), 1)</f>
        <v>1.3607451030186156E-6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5.2236169911367928E-3</v>
      </c>
      <c r="C6" s="7">
        <f>$B6 * IFERROR(VLOOKUP("buildings|PM25|Asthma symptoms cough", US_national_yearly!$D:$AM, 11, FALSE) / VLOOKUP("buildings|PM25|Asthma symptoms cough", US_national_yearly!$D:$AM, 10, FALSE), 1)</f>
        <v>5.2236169911367928E-3</v>
      </c>
      <c r="D6" s="7">
        <f>$B6 * IFERROR(VLOOKUP("buildings|PM25|Asthma symptoms cough", US_national_yearly!$D:$AM, 12, FALSE) / VLOOKUP("buildings|PM25|Asthma symptoms cough", US_national_yearly!$D:$AM, 10, FALSE), 1)</f>
        <v>5.2236169911367928E-3</v>
      </c>
      <c r="E6" s="7">
        <f>$B6 * IFERROR(VLOOKUP("buildings|PM25|Asthma symptoms cough", US_national_yearly!$D:$AM, 13, FALSE) / VLOOKUP("buildings|PM25|Asthma symptoms cough", US_national_yearly!$D:$AM, 10, FALSE), 1)</f>
        <v>5.2236169911367928E-3</v>
      </c>
      <c r="F6" s="7">
        <f>$B6 * IFERROR(VLOOKUP("buildings|PM25|Asthma symptoms cough", US_national_yearly!$D:$AM, 14, FALSE) / VLOOKUP("buildings|PM25|Asthma symptoms cough", US_national_yearly!$D:$AM, 10, FALSE), 1)</f>
        <v>5.2236169911367928E-3</v>
      </c>
      <c r="G6" s="7">
        <f>$B6 * IFERROR(VLOOKUP("buildings|PM25|Asthma symptoms cough", US_national_yearly!$D:$AM, 15, FALSE) / VLOOKUP("buildings|PM25|Asthma symptoms cough", US_national_yearly!$D:$AM, 10, FALSE), 1)</f>
        <v>5.2236169911367928E-3</v>
      </c>
      <c r="H6" s="7">
        <f>$B6 * IFERROR(VLOOKUP("buildings|PM25|Asthma symptoms cough", US_national_yearly!$D:$AM, 16, FALSE) / VLOOKUP("buildings|PM25|Asthma symptoms cough", US_national_yearly!$D:$AM, 10, FALSE), 1)</f>
        <v>5.2236169911367928E-3</v>
      </c>
      <c r="I6" s="7">
        <f>$B6 * IFERROR(VLOOKUP("buildings|PM25|Asthma symptoms cough", US_national_yearly!$D:$AM, 17, FALSE) / VLOOKUP("buildings|PM25|Asthma symptoms cough", US_national_yearly!$D:$AM, 10, FALSE), 1)</f>
        <v>5.2236169911367928E-3</v>
      </c>
      <c r="J6" s="7">
        <f>$B6 * IFERROR(VLOOKUP("buildings|PM25|Asthma symptoms cough", US_national_yearly!$D:$AM, 18, FALSE) / VLOOKUP("buildings|PM25|Asthma symptoms cough", US_national_yearly!$D:$AM, 10, FALSE), 1)</f>
        <v>5.2236169911367928E-3</v>
      </c>
      <c r="K6" s="7">
        <f>$B6 * IFERROR(VLOOKUP("buildings|PM25|Asthma symptoms cough", US_national_yearly!$D:$AM, 19, FALSE) / VLOOKUP("buildings|PM25|Asthma symptoms cough", US_national_yearly!$D:$AM, 10, FALSE), 1)</f>
        <v>5.2236169911367928E-3</v>
      </c>
      <c r="L6" s="7">
        <f>$B6 * IFERROR(VLOOKUP("buildings|PM25|Asthma symptoms cough", US_national_yearly!$D:$AM, 20, FALSE) / VLOOKUP("buildings|PM25|Asthma symptoms cough", US_national_yearly!$D:$AM, 10, FALSE), 1)</f>
        <v>5.2236169911367928E-3</v>
      </c>
      <c r="M6" s="7">
        <f>$B6 * IFERROR(VLOOKUP("buildings|PM25|Asthma symptoms cough", US_national_yearly!$D:$AM, 21, FALSE) / VLOOKUP("buildings|PM25|Asthma symptoms cough", US_national_yearly!$D:$AM, 10, FALSE), 1)</f>
        <v>5.2236169911367928E-3</v>
      </c>
      <c r="N6" s="7">
        <f>$B6 * IFERROR(VLOOKUP("buildings|PM25|Asthma symptoms cough", US_national_yearly!$D:$AM, 22, FALSE) / VLOOKUP("buildings|PM25|Asthma symptoms cough", US_national_yearly!$D:$AM, 10, FALSE), 1)</f>
        <v>5.2236169911367928E-3</v>
      </c>
      <c r="O6" s="7">
        <f>$B6 * IFERROR(VLOOKUP("buildings|PM25|Asthma symptoms cough", US_national_yearly!$D:$AM, 23, FALSE) / VLOOKUP("buildings|PM25|Asthma symptoms cough", US_national_yearly!$D:$AM, 10, FALSE), 1)</f>
        <v>5.2236169911367928E-3</v>
      </c>
      <c r="P6" s="7">
        <f>$B6 * IFERROR(VLOOKUP("buildings|PM25|Asthma symptoms cough", US_national_yearly!$D:$AM, 24, FALSE) / VLOOKUP("buildings|PM25|Asthma symptoms cough", US_national_yearly!$D:$AM, 10, FALSE), 1)</f>
        <v>5.2236169911367928E-3</v>
      </c>
      <c r="Q6" s="7">
        <f>$B6 * IFERROR(VLOOKUP("buildings|PM25|Asthma symptoms cough", US_national_yearly!$D:$AM, 25, FALSE) / VLOOKUP("buildings|PM25|Asthma symptoms cough", US_national_yearly!$D:$AM, 10, FALSE), 1)</f>
        <v>5.2236169911367928E-3</v>
      </c>
      <c r="R6" s="7">
        <f>$B6 * IFERROR(VLOOKUP("buildings|PM25|Asthma symptoms cough", US_national_yearly!$D:$AM, 26, FALSE) / VLOOKUP("buildings|PM25|Asthma symptoms cough", US_national_yearly!$D:$AM, 10, FALSE), 1)</f>
        <v>5.2236169911367928E-3</v>
      </c>
      <c r="S6" s="7">
        <f>$B6 * IFERROR(VLOOKUP("buildings|PM25|Asthma symptoms cough", US_national_yearly!$D:$AM, 27, FALSE) / VLOOKUP("buildings|PM25|Asthma symptoms cough", US_national_yearly!$D:$AM, 10, FALSE), 1)</f>
        <v>5.2236169911367928E-3</v>
      </c>
      <c r="T6" s="7">
        <f>$B6 * IFERROR(VLOOKUP("buildings|PM25|Asthma symptoms cough", US_national_yearly!$D:$AM, 28, FALSE) / VLOOKUP("buildings|PM25|Asthma symptoms cough", US_national_yearly!$D:$AM, 10, FALSE), 1)</f>
        <v>5.2236169911367928E-3</v>
      </c>
      <c r="U6" s="7">
        <f>$B6 * IFERROR(VLOOKUP("buildings|PM25|Asthma symptoms cough", US_national_yearly!$D:$AM, 29, FALSE) / VLOOKUP("buildings|PM25|Asthma symptoms cough", US_national_yearly!$D:$AM, 10, FALSE), 1)</f>
        <v>5.2236169911367928E-3</v>
      </c>
      <c r="V6" s="7">
        <f>$B6 * IFERROR(VLOOKUP("buildings|PM25|Asthma symptoms cough", US_national_yearly!$D:$AM, 30, FALSE) / VLOOKUP("buildings|PM25|Asthma symptoms cough", US_national_yearly!$D:$AM, 10, FALSE), 1)</f>
        <v>5.2236169911367928E-3</v>
      </c>
      <c r="W6" s="7">
        <f>$B6 * IFERROR(VLOOKUP("buildings|PM25|Asthma symptoms cough", US_national_yearly!$D:$AM, 31, FALSE) / VLOOKUP("buildings|PM25|Asthma symptoms cough", US_national_yearly!$D:$AM, 10, FALSE), 1)</f>
        <v>5.2236169911367928E-3</v>
      </c>
      <c r="X6" s="7">
        <f>$B6 * IFERROR(VLOOKUP("buildings|PM25|Asthma symptoms cough", US_national_yearly!$D:$AM, 32, FALSE) / VLOOKUP("buildings|PM25|Asthma symptoms cough", US_national_yearly!$D:$AM, 10, FALSE), 1)</f>
        <v>5.2236169911367928E-3</v>
      </c>
      <c r="Y6" s="7">
        <f>$B6 * IFERROR(VLOOKUP("buildings|PM25|Asthma symptoms cough", US_national_yearly!$D:$AM, 33, FALSE) / VLOOKUP("buildings|PM25|Asthma symptoms cough", US_national_yearly!$D:$AM, 10, FALSE), 1)</f>
        <v>5.2236169911367928E-3</v>
      </c>
      <c r="Z6" s="7">
        <f>$B6 * IFERROR(VLOOKUP("buildings|PM25|Asthma symptoms cough", US_national_yearly!$D:$AM, 34, FALSE) / VLOOKUP("buildings|PM25|Asthma symptoms cough", US_national_yearly!$D:$AM, 10, FALSE), 1)</f>
        <v>5.2236169911367928E-3</v>
      </c>
      <c r="AA6" s="7">
        <f>$B6 * IFERROR(VLOOKUP("buildings|PM25|Asthma symptoms cough", US_national_yearly!$D:$AM, 35, FALSE) / VLOOKUP("buildings|PM25|Asthma symptoms cough", US_national_yearly!$D:$AM, 10, FALSE), 1)</f>
        <v>5.2236169911367928E-3</v>
      </c>
      <c r="AB6" s="7">
        <f>$B6 * IFERROR(VLOOKUP("buildings|PM25|Asthma symptoms cough", US_national_yearly!$D:$AM, 36, FALSE) / VLOOKUP("buildings|PM25|Asthma symptoms cough", US_national_yearly!$D:$AM, 10, FALSE), 1)</f>
        <v>5.2236169911367928E-3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7.0343669337575845E-3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7.0343669337575845E-3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7.0343669337575845E-3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7.0343669337575845E-3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7.0343669337575845E-3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7.0343669337575845E-3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7.0343669337575845E-3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7.0343669337575845E-3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7.0343669337575845E-3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7.0343669337575845E-3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7.0343669337575845E-3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7.0343669337575845E-3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7.0343669337575845E-3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7.0343669337575845E-3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7.0343669337575845E-3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7.0343669337575845E-3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7.0343669337575845E-3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7.0343669337575845E-3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7.0343669337575845E-3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7.0343669337575845E-3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7.0343669337575845E-3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7.0343669337575845E-3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7.0343669337575845E-3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7.0343669337575845E-3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7.0343669337575845E-3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7.0343669337575845E-3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7.0343669337575845E-3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1.0747289087312069E-2</v>
      </c>
      <c r="C8" s="7">
        <f>$B8 * IFERROR(VLOOKUP("buildings|PM25|Asthma symptoms wheeze", US_national_yearly!$D:$AM, 11, FALSE) / VLOOKUP("buildings|PM25|Asthma symptoms wheeze", US_national_yearly!$D:$AM, 10, FALSE), 1)</f>
        <v>1.0747289087312069E-2</v>
      </c>
      <c r="D8" s="7">
        <f>$B8 * IFERROR(VLOOKUP("buildings|PM25|Asthma symptoms wheeze", US_national_yearly!$D:$AM, 12, FALSE) / VLOOKUP("buildings|PM25|Asthma symptoms wheeze", US_national_yearly!$D:$AM, 10, FALSE), 1)</f>
        <v>1.0747289087312069E-2</v>
      </c>
      <c r="E8" s="7">
        <f>$B8 * IFERROR(VLOOKUP("buildings|PM25|Asthma symptoms wheeze", US_national_yearly!$D:$AM, 13, FALSE) / VLOOKUP("buildings|PM25|Asthma symptoms wheeze", US_national_yearly!$D:$AM, 10, FALSE), 1)</f>
        <v>1.0747289087312069E-2</v>
      </c>
      <c r="F8" s="7">
        <f>$B8 * IFERROR(VLOOKUP("buildings|PM25|Asthma symptoms wheeze", US_national_yearly!$D:$AM, 14, FALSE) / VLOOKUP("buildings|PM25|Asthma symptoms wheeze", US_national_yearly!$D:$AM, 10, FALSE), 1)</f>
        <v>1.0747289087312069E-2</v>
      </c>
      <c r="G8" s="7">
        <f>$B8 * IFERROR(VLOOKUP("buildings|PM25|Asthma symptoms wheeze", US_national_yearly!$D:$AM, 15, FALSE) / VLOOKUP("buildings|PM25|Asthma symptoms wheeze", US_national_yearly!$D:$AM, 10, FALSE), 1)</f>
        <v>1.0747289087312069E-2</v>
      </c>
      <c r="H8" s="7">
        <f>$B8 * IFERROR(VLOOKUP("buildings|PM25|Asthma symptoms wheeze", US_national_yearly!$D:$AM, 16, FALSE) / VLOOKUP("buildings|PM25|Asthma symptoms wheeze", US_national_yearly!$D:$AM, 10, FALSE), 1)</f>
        <v>1.0747289087312069E-2</v>
      </c>
      <c r="I8" s="7">
        <f>$B8 * IFERROR(VLOOKUP("buildings|PM25|Asthma symptoms wheeze", US_national_yearly!$D:$AM, 17, FALSE) / VLOOKUP("buildings|PM25|Asthma symptoms wheeze", US_national_yearly!$D:$AM, 10, FALSE), 1)</f>
        <v>1.0747289087312069E-2</v>
      </c>
      <c r="J8" s="7">
        <f>$B8 * IFERROR(VLOOKUP("buildings|PM25|Asthma symptoms wheeze", US_national_yearly!$D:$AM, 18, FALSE) / VLOOKUP("buildings|PM25|Asthma symptoms wheeze", US_national_yearly!$D:$AM, 10, FALSE), 1)</f>
        <v>1.0747289087312069E-2</v>
      </c>
      <c r="K8" s="7">
        <f>$B8 * IFERROR(VLOOKUP("buildings|PM25|Asthma symptoms wheeze", US_national_yearly!$D:$AM, 19, FALSE) / VLOOKUP("buildings|PM25|Asthma symptoms wheeze", US_national_yearly!$D:$AM, 10, FALSE), 1)</f>
        <v>1.0747289087312069E-2</v>
      </c>
      <c r="L8" s="7">
        <f>$B8 * IFERROR(VLOOKUP("buildings|PM25|Asthma symptoms wheeze", US_national_yearly!$D:$AM, 20, FALSE) / VLOOKUP("buildings|PM25|Asthma symptoms wheeze", US_national_yearly!$D:$AM, 10, FALSE), 1)</f>
        <v>1.0747289087312069E-2</v>
      </c>
      <c r="M8" s="7">
        <f>$B8 * IFERROR(VLOOKUP("buildings|PM25|Asthma symptoms wheeze", US_national_yearly!$D:$AM, 21, FALSE) / VLOOKUP("buildings|PM25|Asthma symptoms wheeze", US_national_yearly!$D:$AM, 10, FALSE), 1)</f>
        <v>1.0747289087312069E-2</v>
      </c>
      <c r="N8" s="7">
        <f>$B8 * IFERROR(VLOOKUP("buildings|PM25|Asthma symptoms wheeze", US_national_yearly!$D:$AM, 22, FALSE) / VLOOKUP("buildings|PM25|Asthma symptoms wheeze", US_national_yearly!$D:$AM, 10, FALSE), 1)</f>
        <v>1.0747289087312069E-2</v>
      </c>
      <c r="O8" s="7">
        <f>$B8 * IFERROR(VLOOKUP("buildings|PM25|Asthma symptoms wheeze", US_national_yearly!$D:$AM, 23, FALSE) / VLOOKUP("buildings|PM25|Asthma symptoms wheeze", US_national_yearly!$D:$AM, 10, FALSE), 1)</f>
        <v>1.0747289087312069E-2</v>
      </c>
      <c r="P8" s="7">
        <f>$B8 * IFERROR(VLOOKUP("buildings|PM25|Asthma symptoms wheeze", US_national_yearly!$D:$AM, 24, FALSE) / VLOOKUP("buildings|PM25|Asthma symptoms wheeze", US_national_yearly!$D:$AM, 10, FALSE), 1)</f>
        <v>1.0747289087312069E-2</v>
      </c>
      <c r="Q8" s="7">
        <f>$B8 * IFERROR(VLOOKUP("buildings|PM25|Asthma symptoms wheeze", US_national_yearly!$D:$AM, 25, FALSE) / VLOOKUP("buildings|PM25|Asthma symptoms wheeze", US_national_yearly!$D:$AM, 10, FALSE), 1)</f>
        <v>1.0747289087312069E-2</v>
      </c>
      <c r="R8" s="7">
        <f>$B8 * IFERROR(VLOOKUP("buildings|PM25|Asthma symptoms wheeze", US_national_yearly!$D:$AM, 26, FALSE) / VLOOKUP("buildings|PM25|Asthma symptoms wheeze", US_national_yearly!$D:$AM, 10, FALSE), 1)</f>
        <v>1.0747289087312069E-2</v>
      </c>
      <c r="S8" s="7">
        <f>$B8 * IFERROR(VLOOKUP("buildings|PM25|Asthma symptoms wheeze", US_national_yearly!$D:$AM, 27, FALSE) / VLOOKUP("buildings|PM25|Asthma symptoms wheeze", US_national_yearly!$D:$AM, 10, FALSE), 1)</f>
        <v>1.0747289087312069E-2</v>
      </c>
      <c r="T8" s="7">
        <f>$B8 * IFERROR(VLOOKUP("buildings|PM25|Asthma symptoms wheeze", US_national_yearly!$D:$AM, 28, FALSE) / VLOOKUP("buildings|PM25|Asthma symptoms wheeze", US_national_yearly!$D:$AM, 10, FALSE), 1)</f>
        <v>1.0747289087312069E-2</v>
      </c>
      <c r="U8" s="7">
        <f>$B8 * IFERROR(VLOOKUP("buildings|PM25|Asthma symptoms wheeze", US_national_yearly!$D:$AM, 29, FALSE) / VLOOKUP("buildings|PM25|Asthma symptoms wheeze", US_national_yearly!$D:$AM, 10, FALSE), 1)</f>
        <v>1.0747289087312069E-2</v>
      </c>
      <c r="V8" s="7">
        <f>$B8 * IFERROR(VLOOKUP("buildings|PM25|Asthma symptoms wheeze", US_national_yearly!$D:$AM, 30, FALSE) / VLOOKUP("buildings|PM25|Asthma symptoms wheeze", US_national_yearly!$D:$AM, 10, FALSE), 1)</f>
        <v>1.0747289087312069E-2</v>
      </c>
      <c r="W8" s="7">
        <f>$B8 * IFERROR(VLOOKUP("buildings|PM25|Asthma symptoms wheeze", US_national_yearly!$D:$AM, 31, FALSE) / VLOOKUP("buildings|PM25|Asthma symptoms wheeze", US_national_yearly!$D:$AM, 10, FALSE), 1)</f>
        <v>1.0747289087312069E-2</v>
      </c>
      <c r="X8" s="7">
        <f>$B8 * IFERROR(VLOOKUP("buildings|PM25|Asthma symptoms wheeze", US_national_yearly!$D:$AM, 32, FALSE) / VLOOKUP("buildings|PM25|Asthma symptoms wheeze", US_national_yearly!$D:$AM, 10, FALSE), 1)</f>
        <v>1.0747289087312069E-2</v>
      </c>
      <c r="Y8" s="7">
        <f>$B8 * IFERROR(VLOOKUP("buildings|PM25|Asthma symptoms wheeze", US_national_yearly!$D:$AM, 33, FALSE) / VLOOKUP("buildings|PM25|Asthma symptoms wheeze", US_national_yearly!$D:$AM, 10, FALSE), 1)</f>
        <v>1.0747289087312069E-2</v>
      </c>
      <c r="Z8" s="7">
        <f>$B8 * IFERROR(VLOOKUP("buildings|PM25|Asthma symptoms wheeze", US_national_yearly!$D:$AM, 34, FALSE) / VLOOKUP("buildings|PM25|Asthma symptoms wheeze", US_national_yearly!$D:$AM, 10, FALSE), 1)</f>
        <v>1.0747289087312069E-2</v>
      </c>
      <c r="AA8" s="7">
        <f>$B8 * IFERROR(VLOOKUP("buildings|PM25|Asthma symptoms wheeze", US_national_yearly!$D:$AM, 35, FALSE) / VLOOKUP("buildings|PM25|Asthma symptoms wheeze", US_national_yearly!$D:$AM, 10, FALSE), 1)</f>
        <v>1.0747289087312069E-2</v>
      </c>
      <c r="AB8" s="7">
        <f>$B8 * IFERROR(VLOOKUP("buildings|PM25|Asthma symptoms wheeze", US_national_yearly!$D:$AM, 36, FALSE) / VLOOKUP("buildings|PM25|Asthma symptoms wheeze", US_national_yearly!$D:$AM, 10, FALSE), 1)</f>
        <v>1.0747289087312069E-2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1.0212617160081775E-4</v>
      </c>
      <c r="C12" s="7">
        <f>$B12 * IFERROR(VLOOKUP("buildings|PM25|Respiratory hospital admissions", US_national_yearly!$D:$AM, 11, FALSE) / VLOOKUP("buildings|PM25|Respiratory hospital admissions", US_national_yearly!$D:$AM, 10, FALSE), 1)</f>
        <v>1.0271484383416786E-4</v>
      </c>
      <c r="D12" s="7">
        <f>$B12 * IFERROR(VLOOKUP("buildings|PM25|Respiratory hospital admissions", US_national_yearly!$D:$AM, 12, FALSE) / VLOOKUP("buildings|PM25|Respiratory hospital admissions", US_national_yearly!$D:$AM, 10, FALSE), 1)</f>
        <v>1.0330351606751799E-4</v>
      </c>
      <c r="E12" s="7">
        <f>$B12 * IFERROR(VLOOKUP("buildings|PM25|Respiratory hospital admissions", US_national_yearly!$D:$AM, 13, FALSE) / VLOOKUP("buildings|PM25|Respiratory hospital admissions", US_national_yearly!$D:$AM, 10, FALSE), 1)</f>
        <v>1.0389218830086812E-4</v>
      </c>
      <c r="F12" s="7">
        <f>$B12 * IFERROR(VLOOKUP("buildings|PM25|Respiratory hospital admissions", US_national_yearly!$D:$AM, 14, FALSE) / VLOOKUP("buildings|PM25|Respiratory hospital admissions", US_national_yearly!$D:$AM, 10, FALSE), 1)</f>
        <v>1.0448086053421825E-4</v>
      </c>
      <c r="G12" s="7">
        <f>$B12 * IFERROR(VLOOKUP("buildings|PM25|Respiratory hospital admissions", US_national_yearly!$D:$AM, 15, FALSE) / VLOOKUP("buildings|PM25|Respiratory hospital admissions", US_national_yearly!$D:$AM, 10, FALSE), 1)</f>
        <v>1.0511609241350277E-4</v>
      </c>
      <c r="H12" s="7">
        <f>$B12 * IFERROR(VLOOKUP("buildings|PM25|Respiratory hospital admissions", US_national_yearly!$D:$AM, 16, FALSE) / VLOOKUP("buildings|PM25|Respiratory hospital admissions", US_national_yearly!$D:$AM, 10, FALSE), 1)</f>
        <v>1.0575132429278728E-4</v>
      </c>
      <c r="I12" s="7">
        <f>$B12 * IFERROR(VLOOKUP("buildings|PM25|Respiratory hospital admissions", US_national_yearly!$D:$AM, 17, FALSE) / VLOOKUP("buildings|PM25|Respiratory hospital admissions", US_national_yearly!$D:$AM, 10, FALSE), 1)</f>
        <v>1.0635548725291146E-4</v>
      </c>
      <c r="J12" s="7">
        <f>$B12 * IFERROR(VLOOKUP("buildings|PM25|Respiratory hospital admissions", US_national_yearly!$D:$AM, 18, FALSE) / VLOOKUP("buildings|PM25|Respiratory hospital admissions", US_national_yearly!$D:$AM, 10, FALSE), 1)</f>
        <v>1.0695965021303563E-4</v>
      </c>
      <c r="K12" s="7">
        <f>$B12 * IFERROR(VLOOKUP("buildings|PM25|Respiratory hospital admissions", US_national_yearly!$D:$AM, 19, FALSE) / VLOOKUP("buildings|PM25|Respiratory hospital admissions", US_national_yearly!$D:$AM, 10, FALSE), 1)</f>
        <v>1.0756381317315978E-4</v>
      </c>
      <c r="L12" s="7">
        <f>$B12 * IFERROR(VLOOKUP("buildings|PM25|Respiratory hospital admissions", US_national_yearly!$D:$AM, 20, FALSE) / VLOOKUP("buildings|PM25|Respiratory hospital admissions", US_national_yearly!$D:$AM, 10, FALSE), 1)</f>
        <v>1.0816797613328395E-4</v>
      </c>
      <c r="M12" s="7">
        <f>$B12 * IFERROR(VLOOKUP("buildings|PM25|Respiratory hospital admissions", US_national_yearly!$D:$AM, 21, FALSE) / VLOOKUP("buildings|PM25|Respiratory hospital admissions", US_national_yearly!$D:$AM, 10, FALSE), 1)</f>
        <v>1.0877213909340812E-4</v>
      </c>
      <c r="N12" s="7">
        <f>$B12 * IFERROR(VLOOKUP("buildings|PM25|Respiratory hospital admissions", US_national_yearly!$D:$AM, 22, FALSE) / VLOOKUP("buildings|PM25|Respiratory hospital admissions", US_national_yearly!$D:$AM, 10, FALSE), 1)</f>
        <v>1.0920669592654907E-4</v>
      </c>
      <c r="O12" s="7">
        <f>$B12 * IFERROR(VLOOKUP("buildings|PM25|Respiratory hospital admissions", US_national_yearly!$D:$AM, 23, FALSE) / VLOOKUP("buildings|PM25|Respiratory hospital admissions", US_national_yearly!$D:$AM, 10, FALSE), 1)</f>
        <v>1.0964125275969E-4</v>
      </c>
      <c r="P12" s="7">
        <f>$B12 * IFERROR(VLOOKUP("buildings|PM25|Respiratory hospital admissions", US_national_yearly!$D:$AM, 24, FALSE) / VLOOKUP("buildings|PM25|Respiratory hospital admissions", US_national_yearly!$D:$AM, 10, FALSE), 1)</f>
        <v>1.1007580959283095E-4</v>
      </c>
      <c r="Q12" s="7">
        <f>$B12 * IFERROR(VLOOKUP("buildings|PM25|Respiratory hospital admissions", US_national_yearly!$D:$AM, 25, FALSE) / VLOOKUP("buildings|PM25|Respiratory hospital admissions", US_national_yearly!$D:$AM, 10, FALSE), 1)</f>
        <v>1.1051036642597188E-4</v>
      </c>
      <c r="R12" s="7">
        <f>$B12 * IFERROR(VLOOKUP("buildings|PM25|Respiratory hospital admissions", US_national_yearly!$D:$AM, 26, FALSE) / VLOOKUP("buildings|PM25|Respiratory hospital admissions", US_national_yearly!$D:$AM, 10, FALSE), 1)</f>
        <v>1.1094492325911283E-4</v>
      </c>
      <c r="S12" s="7">
        <f>$B12 * IFERROR(VLOOKUP("buildings|PM25|Respiratory hospital admissions", US_national_yearly!$D:$AM, 27, FALSE) / VLOOKUP("buildings|PM25|Respiratory hospital admissions", US_national_yearly!$D:$AM, 10, FALSE), 1)</f>
        <v>1.1135895723761461E-4</v>
      </c>
      <c r="T12" s="7">
        <f>$B12 * IFERROR(VLOOKUP("buildings|PM25|Respiratory hospital admissions", US_national_yearly!$D:$AM, 28, FALSE) / VLOOKUP("buildings|PM25|Respiratory hospital admissions", US_national_yearly!$D:$AM, 10, FALSE), 1)</f>
        <v>1.1177299121611644E-4</v>
      </c>
      <c r="U12" s="7">
        <f>$B12 * IFERROR(VLOOKUP("buildings|PM25|Respiratory hospital admissions", US_national_yearly!$D:$AM, 29, FALSE) / VLOOKUP("buildings|PM25|Respiratory hospital admissions", US_national_yearly!$D:$AM, 10, FALSE), 1)</f>
        <v>1.1218702519461824E-4</v>
      </c>
      <c r="V12" s="7">
        <f>$B12 * IFERROR(VLOOKUP("buildings|PM25|Respiratory hospital admissions", US_national_yearly!$D:$AM, 30, FALSE) / VLOOKUP("buildings|PM25|Respiratory hospital admissions", US_national_yearly!$D:$AM, 10, FALSE), 1)</f>
        <v>1.1260105917312003E-4</v>
      </c>
      <c r="W12" s="7">
        <f>$B12 * IFERROR(VLOOKUP("buildings|PM25|Respiratory hospital admissions", US_national_yearly!$D:$AM, 31, FALSE) / VLOOKUP("buildings|PM25|Respiratory hospital admissions", US_national_yearly!$D:$AM, 10, FALSE), 1)</f>
        <v>1.1301509315162186E-4</v>
      </c>
      <c r="X12" s="7">
        <f>$B12 * IFERROR(VLOOKUP("buildings|PM25|Respiratory hospital admissions", US_national_yearly!$D:$AM, 32, FALSE) / VLOOKUP("buildings|PM25|Respiratory hospital admissions", US_national_yearly!$D:$AM, 10, FALSE), 1)</f>
        <v>1.1341498434303229E-4</v>
      </c>
      <c r="Y12" s="7">
        <f>$B12 * IFERROR(VLOOKUP("buildings|PM25|Respiratory hospital admissions", US_national_yearly!$D:$AM, 33, FALSE) / VLOOKUP("buildings|PM25|Respiratory hospital admissions", US_national_yearly!$D:$AM, 10, FALSE), 1)</f>
        <v>1.1381487553444273E-4</v>
      </c>
      <c r="Z12" s="7">
        <f>$B12 * IFERROR(VLOOKUP("buildings|PM25|Respiratory hospital admissions", US_national_yearly!$D:$AM, 34, FALSE) / VLOOKUP("buildings|PM25|Respiratory hospital admissions", US_national_yearly!$D:$AM, 10, FALSE), 1)</f>
        <v>1.1421476672585316E-4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1.1461465791726362E-4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1.1501454910867404E-4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1.5072784537374591E-4</v>
      </c>
      <c r="C13" s="7">
        <f>$B13 * IFERROR(VLOOKUP("buildings|PM25|Non-fatal heart attacks", US_national_yearly!$D:$AM, 11, FALSE) / VLOOKUP("buildings|PM25|Non-fatal heart attacks", US_national_yearly!$D:$AM, 10, FALSE), 1)</f>
        <v>1.5511197804056858E-4</v>
      </c>
      <c r="D13" s="7">
        <f>$B13 * IFERROR(VLOOKUP("buildings|PM25|Non-fatal heart attacks", US_national_yearly!$D:$AM, 12, FALSE) / VLOOKUP("buildings|PM25|Non-fatal heart attacks", US_national_yearly!$D:$AM, 10, FALSE), 1)</f>
        <v>1.5949611070739119E-4</v>
      </c>
      <c r="E13" s="7">
        <f>$B13 * IFERROR(VLOOKUP("buildings|PM25|Non-fatal heart attacks", US_national_yearly!$D:$AM, 13, FALSE) / VLOOKUP("buildings|PM25|Non-fatal heart attacks", US_national_yearly!$D:$AM, 10, FALSE), 1)</f>
        <v>1.6388024337421383E-4</v>
      </c>
      <c r="F13" s="7">
        <f>$B13 * IFERROR(VLOOKUP("buildings|PM25|Non-fatal heart attacks", US_national_yearly!$D:$AM, 14, FALSE) / VLOOKUP("buildings|PM25|Non-fatal heart attacks", US_national_yearly!$D:$AM, 10, FALSE), 1)</f>
        <v>1.6826437604103647E-4</v>
      </c>
      <c r="G13" s="7">
        <f>$B13 * IFERROR(VLOOKUP("buildings|PM25|Non-fatal heart attacks", US_national_yearly!$D:$AM, 15, FALSE) / VLOOKUP("buildings|PM25|Non-fatal heart attacks", US_national_yearly!$D:$AM, 10, FALSE), 1)</f>
        <v>1.7240105561265752E-4</v>
      </c>
      <c r="H13" s="7">
        <f>$B13 * IFERROR(VLOOKUP("buildings|PM25|Non-fatal heart attacks", US_national_yearly!$D:$AM, 16, FALSE) / VLOOKUP("buildings|PM25|Non-fatal heart attacks", US_national_yearly!$D:$AM, 10, FALSE), 1)</f>
        <v>1.7653773518427849E-4</v>
      </c>
      <c r="I13" s="7">
        <f>$B13 * IFERROR(VLOOKUP("buildings|PM25|Non-fatal heart attacks", US_national_yearly!$D:$AM, 17, FALSE) / VLOOKUP("buildings|PM25|Non-fatal heart attacks", US_national_yearly!$D:$AM, 10, FALSE), 1)</f>
        <v>1.7986601519075793E-4</v>
      </c>
      <c r="J13" s="7">
        <f>$B13 * IFERROR(VLOOKUP("buildings|PM25|Non-fatal heart attacks", US_national_yearly!$D:$AM, 18, FALSE) / VLOOKUP("buildings|PM25|Non-fatal heart attacks", US_national_yearly!$D:$AM, 10, FALSE), 1)</f>
        <v>1.8319429519723734E-4</v>
      </c>
      <c r="K13" s="7">
        <f>$B13 * IFERROR(VLOOKUP("buildings|PM25|Non-fatal heart attacks", US_national_yearly!$D:$AM, 19, FALSE) / VLOOKUP("buildings|PM25|Non-fatal heart attacks", US_national_yearly!$D:$AM, 10, FALSE), 1)</f>
        <v>1.8652257520371672E-4</v>
      </c>
      <c r="L13" s="7">
        <f>$B13 * IFERROR(VLOOKUP("buildings|PM25|Non-fatal heart attacks", US_national_yearly!$D:$AM, 20, FALSE) / VLOOKUP("buildings|PM25|Non-fatal heart attacks", US_national_yearly!$D:$AM, 10, FALSE), 1)</f>
        <v>1.898508552101961E-4</v>
      </c>
      <c r="M13" s="7">
        <f>$B13 * IFERROR(VLOOKUP("buildings|PM25|Non-fatal heart attacks", US_national_yearly!$D:$AM, 21, FALSE) / VLOOKUP("buildings|PM25|Non-fatal heart attacks", US_national_yearly!$D:$AM, 10, FALSE), 1)</f>
        <v>1.9317913521667548E-4</v>
      </c>
      <c r="N13" s="7">
        <f>$B13 * IFERROR(VLOOKUP("buildings|PM25|Non-fatal heart attacks", US_national_yearly!$D:$AM, 22, FALSE) / VLOOKUP("buildings|PM25|Non-fatal heart attacks", US_national_yearly!$D:$AM, 10, FALSE), 1)</f>
        <v>1.95329256099508E-4</v>
      </c>
      <c r="O13" s="7">
        <f>$B13 * IFERROR(VLOOKUP("buildings|PM25|Non-fatal heart attacks", US_national_yearly!$D:$AM, 23, FALSE) / VLOOKUP("buildings|PM25|Non-fatal heart attacks", US_national_yearly!$D:$AM, 10, FALSE), 1)</f>
        <v>1.9747937698234047E-4</v>
      </c>
      <c r="P13" s="7">
        <f>$B13 * IFERROR(VLOOKUP("buildings|PM25|Non-fatal heart attacks", US_national_yearly!$D:$AM, 24, FALSE) / VLOOKUP("buildings|PM25|Non-fatal heart attacks", US_national_yearly!$D:$AM, 10, FALSE), 1)</f>
        <v>1.9962949786517297E-4</v>
      </c>
      <c r="Q13" s="7">
        <f>$B13 * IFERROR(VLOOKUP("buildings|PM25|Non-fatal heart attacks", US_national_yearly!$D:$AM, 25, FALSE) / VLOOKUP("buildings|PM25|Non-fatal heart attacks", US_national_yearly!$D:$AM, 10, FALSE), 1)</f>
        <v>2.0177961874800549E-4</v>
      </c>
      <c r="R13" s="7">
        <f>$B13 * IFERROR(VLOOKUP("buildings|PM25|Non-fatal heart attacks", US_national_yearly!$D:$AM, 26, FALSE) / VLOOKUP("buildings|PM25|Non-fatal heart attacks", US_national_yearly!$D:$AM, 10, FALSE), 1)</f>
        <v>2.0392973963083796E-4</v>
      </c>
      <c r="S13" s="7">
        <f>$B13 * IFERROR(VLOOKUP("buildings|PM25|Non-fatal heart attacks", US_national_yearly!$D:$AM, 27, FALSE) / VLOOKUP("buildings|PM25|Non-fatal heart attacks", US_national_yearly!$D:$AM, 10, FALSE), 1)</f>
        <v>2.0506695908198286E-4</v>
      </c>
      <c r="T13" s="7">
        <f>$B13 * IFERROR(VLOOKUP("buildings|PM25|Non-fatal heart attacks", US_national_yearly!$D:$AM, 28, FALSE) / VLOOKUP("buildings|PM25|Non-fatal heart attacks", US_national_yearly!$D:$AM, 10, FALSE), 1)</f>
        <v>2.062041785331278E-4</v>
      </c>
      <c r="U13" s="7">
        <f>$B13 * IFERROR(VLOOKUP("buildings|PM25|Non-fatal heart attacks", US_national_yearly!$D:$AM, 29, FALSE) / VLOOKUP("buildings|PM25|Non-fatal heart attacks", US_national_yearly!$D:$AM, 10, FALSE), 1)</f>
        <v>2.0734139798427273E-4</v>
      </c>
      <c r="V13" s="7">
        <f>$B13 * IFERROR(VLOOKUP("buildings|PM25|Non-fatal heart attacks", US_national_yearly!$D:$AM, 30, FALSE) / VLOOKUP("buildings|PM25|Non-fatal heart attacks", US_national_yearly!$D:$AM, 10, FALSE), 1)</f>
        <v>2.084786174354176E-4</v>
      </c>
      <c r="W13" s="7">
        <f>$B13 * IFERROR(VLOOKUP("buildings|PM25|Non-fatal heart attacks", US_national_yearly!$D:$AM, 31, FALSE) / VLOOKUP("buildings|PM25|Non-fatal heart attacks", US_national_yearly!$D:$AM, 10, FALSE), 1)</f>
        <v>2.0961583688656254E-4</v>
      </c>
      <c r="X13" s="7">
        <f>$B13 * IFERROR(VLOOKUP("buildings|PM25|Non-fatal heart attacks", US_national_yearly!$D:$AM, 32, FALSE) / VLOOKUP("buildings|PM25|Non-fatal heart attacks", US_national_yearly!$D:$AM, 10, FALSE), 1)</f>
        <v>2.1048134394948512E-4</v>
      </c>
      <c r="Y13" s="7">
        <f>$B13 * IFERROR(VLOOKUP("buildings|PM25|Non-fatal heart attacks", US_national_yearly!$D:$AM, 33, FALSE) / VLOOKUP("buildings|PM25|Non-fatal heart attacks", US_national_yearly!$D:$AM, 10, FALSE), 1)</f>
        <v>2.1134685101240774E-4</v>
      </c>
      <c r="Z13" s="7">
        <f>$B13 * IFERROR(VLOOKUP("buildings|PM25|Non-fatal heart attacks", US_national_yearly!$D:$AM, 34, FALSE) / VLOOKUP("buildings|PM25|Non-fatal heart attacks", US_national_yearly!$D:$AM, 10, FALSE), 1)</f>
        <v>2.122123580753303E-4</v>
      </c>
      <c r="AA13" s="7">
        <f>$B13 * IFERROR(VLOOKUP("buildings|PM25|Non-fatal heart attacks", US_national_yearly!$D:$AM, 35, FALSE) / VLOOKUP("buildings|PM25|Non-fatal heart attacks", US_national_yearly!$D:$AM, 10, FALSE), 1)</f>
        <v>2.1307786513825289E-4</v>
      </c>
      <c r="AB13" s="7">
        <f>$B13 * IFERROR(VLOOKUP("buildings|PM25|Non-fatal heart attacks", US_national_yearly!$D:$AM, 36, FALSE) / VLOOKUP("buildings|PM25|Non-fatal heart attacks", US_national_yearly!$D:$AM, 10, FALSE), 1)</f>
        <v>2.1394337220117553E-4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0.64110903027892108</v>
      </c>
      <c r="C14" s="7">
        <f>$B14 * IFERROR(VLOOKUP("buildings|PM25|Minor restricted activity days", US_national_yearly!$D:$AM, 11, FALSE) / VLOOKUP("buildings|PM25|Minor restricted activity days", US_national_yearly!$D:$AM, 10, FALSE), 1)</f>
        <v>0.64270350437937174</v>
      </c>
      <c r="D14" s="7">
        <f>$B14 * IFERROR(VLOOKUP("buildings|PM25|Minor restricted activity days", US_national_yearly!$D:$AM, 12, FALSE) / VLOOKUP("buildings|PM25|Minor restricted activity days", US_national_yearly!$D:$AM, 10, FALSE), 1)</f>
        <v>0.64429797847982251</v>
      </c>
      <c r="E14" s="7">
        <f>$B14 * IFERROR(VLOOKUP("buildings|PM25|Minor restricted activity days", US_national_yearly!$D:$AM, 13, FALSE) / VLOOKUP("buildings|PM25|Minor restricted activity days", US_national_yearly!$D:$AM, 10, FALSE), 1)</f>
        <v>0.64589245258027317</v>
      </c>
      <c r="F14" s="7">
        <f>$B14 * IFERROR(VLOOKUP("buildings|PM25|Minor restricted activity days", US_national_yearly!$D:$AM, 14, FALSE) / VLOOKUP("buildings|PM25|Minor restricted activity days", US_national_yearly!$D:$AM, 10, FALSE), 1)</f>
        <v>0.64748692668072372</v>
      </c>
      <c r="G14" s="7">
        <f>$B14 * IFERROR(VLOOKUP("buildings|PM25|Minor restricted activity days", US_national_yearly!$D:$AM, 15, FALSE) / VLOOKUP("buildings|PM25|Minor restricted activity days", US_national_yearly!$D:$AM, 10, FALSE), 1)</f>
        <v>0.64982553606913041</v>
      </c>
      <c r="H14" s="7">
        <f>$B14 * IFERROR(VLOOKUP("buildings|PM25|Minor restricted activity days", US_national_yearly!$D:$AM, 16, FALSE) / VLOOKUP("buildings|PM25|Minor restricted activity days", US_national_yearly!$D:$AM, 10, FALSE), 1)</f>
        <v>0.65216414545753676</v>
      </c>
      <c r="I14" s="7">
        <f>$B14 * IFERROR(VLOOKUP("buildings|PM25|Minor restricted activity days", US_national_yearly!$D:$AM, 17, FALSE) / VLOOKUP("buildings|PM25|Minor restricted activity days", US_national_yearly!$D:$AM, 10, FALSE), 1)</f>
        <v>0.65614083122231259</v>
      </c>
      <c r="J14" s="7">
        <f>$B14 * IFERROR(VLOOKUP("buildings|PM25|Minor restricted activity days", US_national_yearly!$D:$AM, 18, FALSE) / VLOOKUP("buildings|PM25|Minor restricted activity days", US_national_yearly!$D:$AM, 10, FALSE), 1)</f>
        <v>0.66011751698708876</v>
      </c>
      <c r="K14" s="7">
        <f>$B14 * IFERROR(VLOOKUP("buildings|PM25|Minor restricted activity days", US_national_yearly!$D:$AM, 19, FALSE) / VLOOKUP("buildings|PM25|Minor restricted activity days", US_national_yearly!$D:$AM, 10, FALSE), 1)</f>
        <v>0.66409420275186426</v>
      </c>
      <c r="L14" s="7">
        <f>$B14 * IFERROR(VLOOKUP("buildings|PM25|Minor restricted activity days", US_national_yearly!$D:$AM, 20, FALSE) / VLOOKUP("buildings|PM25|Minor restricted activity days", US_national_yearly!$D:$AM, 10, FALSE), 1)</f>
        <v>0.66807088851663998</v>
      </c>
      <c r="M14" s="7">
        <f>$B14 * IFERROR(VLOOKUP("buildings|PM25|Minor restricted activity days", US_national_yearly!$D:$AM, 21, FALSE) / VLOOKUP("buildings|PM25|Minor restricted activity days", US_national_yearly!$D:$AM, 10, FALSE), 1)</f>
        <v>0.6720475742814157</v>
      </c>
      <c r="N14" s="7">
        <f>$B14 * IFERROR(VLOOKUP("buildings|PM25|Minor restricted activity days", US_national_yearly!$D:$AM, 22, FALSE) / VLOOKUP("buildings|PM25|Minor restricted activity days", US_national_yearly!$D:$AM, 10, FALSE), 1)</f>
        <v>0.67745093080584429</v>
      </c>
      <c r="O14" s="7">
        <f>$B14 * IFERROR(VLOOKUP("buildings|PM25|Minor restricted activity days", US_national_yearly!$D:$AM, 23, FALSE) / VLOOKUP("buildings|PM25|Minor restricted activity days", US_national_yearly!$D:$AM, 10, FALSE), 1)</f>
        <v>0.68285428733027276</v>
      </c>
      <c r="P14" s="7">
        <f>$B14 * IFERROR(VLOOKUP("buildings|PM25|Minor restricted activity days", US_national_yearly!$D:$AM, 24, FALSE) / VLOOKUP("buildings|PM25|Minor restricted activity days", US_national_yearly!$D:$AM, 10, FALSE), 1)</f>
        <v>0.68825764385470123</v>
      </c>
      <c r="Q14" s="7">
        <f>$B14 * IFERROR(VLOOKUP("buildings|PM25|Minor restricted activity days", US_national_yearly!$D:$AM, 25, FALSE) / VLOOKUP("buildings|PM25|Minor restricted activity days", US_national_yearly!$D:$AM, 10, FALSE), 1)</f>
        <v>0.69366100037912959</v>
      </c>
      <c r="R14" s="7">
        <f>$B14 * IFERROR(VLOOKUP("buildings|PM25|Minor restricted activity days", US_national_yearly!$D:$AM, 26, FALSE) / VLOOKUP("buildings|PM25|Minor restricted activity days", US_national_yearly!$D:$AM, 10, FALSE), 1)</f>
        <v>0.69906435690355806</v>
      </c>
      <c r="S14" s="7">
        <f>$B14 * IFERROR(VLOOKUP("buildings|PM25|Minor restricted activity days", US_national_yearly!$D:$AM, 27, FALSE) / VLOOKUP("buildings|PM25|Minor restricted activity days", US_national_yearly!$D:$AM, 10, FALSE), 1)</f>
        <v>0.70450119832066405</v>
      </c>
      <c r="T14" s="7">
        <f>$B14 * IFERROR(VLOOKUP("buildings|PM25|Minor restricted activity days", US_national_yearly!$D:$AM, 28, FALSE) / VLOOKUP("buildings|PM25|Minor restricted activity days", US_national_yearly!$D:$AM, 10, FALSE), 1)</f>
        <v>0.70993803973776981</v>
      </c>
      <c r="U14" s="7">
        <f>$B14 * IFERROR(VLOOKUP("buildings|PM25|Minor restricted activity days", US_national_yearly!$D:$AM, 29, FALSE) / VLOOKUP("buildings|PM25|Minor restricted activity days", US_national_yearly!$D:$AM, 10, FALSE), 1)</f>
        <v>0.7153748811548758</v>
      </c>
      <c r="V14" s="7">
        <f>$B14 * IFERROR(VLOOKUP("buildings|PM25|Minor restricted activity days", US_national_yearly!$D:$AM, 30, FALSE) / VLOOKUP("buildings|PM25|Minor restricted activity days", US_national_yearly!$D:$AM, 10, FALSE), 1)</f>
        <v>0.72081172257198167</v>
      </c>
      <c r="W14" s="7">
        <f>$B14 * IFERROR(VLOOKUP("buildings|PM25|Minor restricted activity days", US_national_yearly!$D:$AM, 31, FALSE) / VLOOKUP("buildings|PM25|Minor restricted activity days", US_national_yearly!$D:$AM, 10, FALSE), 1)</f>
        <v>0.72624856398908766</v>
      </c>
      <c r="X14" s="7">
        <f>$B14 * IFERROR(VLOOKUP("buildings|PM25|Minor restricted activity days", US_national_yearly!$D:$AM, 32, FALSE) / VLOOKUP("buildings|PM25|Minor restricted activity days", US_national_yearly!$D:$AM, 10, FALSE), 1)</f>
        <v>0.73096940378545727</v>
      </c>
      <c r="Y14" s="7">
        <f>$B14 * IFERROR(VLOOKUP("buildings|PM25|Minor restricted activity days", US_national_yearly!$D:$AM, 33, FALSE) / VLOOKUP("buildings|PM25|Minor restricted activity days", US_national_yearly!$D:$AM, 10, FALSE), 1)</f>
        <v>0.73569024358182677</v>
      </c>
      <c r="Z14" s="7">
        <f>$B14 * IFERROR(VLOOKUP("buildings|PM25|Minor restricted activity days", US_national_yearly!$D:$AM, 34, FALSE) / VLOOKUP("buildings|PM25|Minor restricted activity days", US_national_yearly!$D:$AM, 10, FALSE), 1)</f>
        <v>0.74041108337819617</v>
      </c>
      <c r="AA14" s="7">
        <f>$B14 * IFERROR(VLOOKUP("buildings|PM25|Minor restricted activity days", US_national_yearly!$D:$AM, 35, FALSE) / VLOOKUP("buildings|PM25|Minor restricted activity days", US_national_yearly!$D:$AM, 10, FALSE), 1)</f>
        <v>0.74513192317456578</v>
      </c>
      <c r="AB14" s="7">
        <f>$B14 * IFERROR(VLOOKUP("buildings|PM25|Minor restricted activity days", US_national_yearly!$D:$AM, 36, FALSE) / VLOOKUP("buildings|PM25|Minor restricted activity days", US_national_yearly!$D:$AM, 10, FALSE), 1)</f>
        <v>0.74985276297093528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0.10853216420806926</v>
      </c>
      <c r="C15" s="7">
        <f>$B15 * IFERROR(VLOOKUP("buildings|PM25|Work loss days", US_national_yearly!$D:$AM, 11, FALSE) / VLOOKUP("buildings|PM25|Work loss days", US_national_yearly!$D:$AM, 10, FALSE), 1)</f>
        <v>0.1088727615454136</v>
      </c>
      <c r="D15" s="7">
        <f>$B15 * IFERROR(VLOOKUP("buildings|PM25|Work loss days", US_national_yearly!$D:$AM, 12, FALSE) / VLOOKUP("buildings|PM25|Work loss days", US_national_yearly!$D:$AM, 10, FALSE), 1)</f>
        <v>0.10921335888275792</v>
      </c>
      <c r="E15" s="7">
        <f>$B15 * IFERROR(VLOOKUP("buildings|PM25|Work loss days", US_national_yearly!$D:$AM, 13, FALSE) / VLOOKUP("buildings|PM25|Work loss days", US_national_yearly!$D:$AM, 10, FALSE), 1)</f>
        <v>0.10955395622010224</v>
      </c>
      <c r="F15" s="7">
        <f>$B15 * IFERROR(VLOOKUP("buildings|PM25|Work loss days", US_national_yearly!$D:$AM, 14, FALSE) / VLOOKUP("buildings|PM25|Work loss days", US_national_yearly!$D:$AM, 10, FALSE), 1)</f>
        <v>0.10989455355744655</v>
      </c>
      <c r="G15" s="7">
        <f>$B15 * IFERROR(VLOOKUP("buildings|PM25|Work loss days", US_national_yearly!$D:$AM, 15, FALSE) / VLOOKUP("buildings|PM25|Work loss days", US_national_yearly!$D:$AM, 10, FALSE), 1)</f>
        <v>0.11033974479969223</v>
      </c>
      <c r="H15" s="7">
        <f>$B15 * IFERROR(VLOOKUP("buildings|PM25|Work loss days", US_national_yearly!$D:$AM, 16, FALSE) / VLOOKUP("buildings|PM25|Work loss days", US_national_yearly!$D:$AM, 10, FALSE), 1)</f>
        <v>0.11078493604193791</v>
      </c>
      <c r="I15" s="7">
        <f>$B15 * IFERROR(VLOOKUP("buildings|PM25|Work loss days", US_national_yearly!$D:$AM, 17, FALSE) / VLOOKUP("buildings|PM25|Work loss days", US_national_yearly!$D:$AM, 10, FALSE), 1)</f>
        <v>0.11143877341881045</v>
      </c>
      <c r="J15" s="7">
        <f>$B15 * IFERROR(VLOOKUP("buildings|PM25|Work loss days", US_national_yearly!$D:$AM, 18, FALSE) / VLOOKUP("buildings|PM25|Work loss days", US_national_yearly!$D:$AM, 10, FALSE), 1)</f>
        <v>0.11209261079568299</v>
      </c>
      <c r="K15" s="7">
        <f>$B15 * IFERROR(VLOOKUP("buildings|PM25|Work loss days", US_national_yearly!$D:$AM, 19, FALSE) / VLOOKUP("buildings|PM25|Work loss days", US_national_yearly!$D:$AM, 10, FALSE), 1)</f>
        <v>0.11274644817255552</v>
      </c>
      <c r="L15" s="7">
        <f>$B15 * IFERROR(VLOOKUP("buildings|PM25|Work loss days", US_national_yearly!$D:$AM, 20, FALSE) / VLOOKUP("buildings|PM25|Work loss days", US_national_yearly!$D:$AM, 10, FALSE), 1)</f>
        <v>0.11340028554942806</v>
      </c>
      <c r="M15" s="7">
        <f>$B15 * IFERROR(VLOOKUP("buildings|PM25|Work loss days", US_national_yearly!$D:$AM, 21, FALSE) / VLOOKUP("buildings|PM25|Work loss days", US_national_yearly!$D:$AM, 10, FALSE), 1)</f>
        <v>0.11405412292630063</v>
      </c>
      <c r="N15" s="7">
        <f>$B15 * IFERROR(VLOOKUP("buildings|PM25|Work loss days", US_national_yearly!$D:$AM, 22, FALSE) / VLOOKUP("buildings|PM25|Work loss days", US_national_yearly!$D:$AM, 10, FALSE), 1)</f>
        <v>0.11487617005606168</v>
      </c>
      <c r="O15" s="7">
        <f>$B15 * IFERROR(VLOOKUP("buildings|PM25|Work loss days", US_national_yearly!$D:$AM, 23, FALSE) / VLOOKUP("buildings|PM25|Work loss days", US_national_yearly!$D:$AM, 10, FALSE), 1)</f>
        <v>0.11569821718582278</v>
      </c>
      <c r="P15" s="7">
        <f>$B15 * IFERROR(VLOOKUP("buildings|PM25|Work loss days", US_national_yearly!$D:$AM, 24, FALSE) / VLOOKUP("buildings|PM25|Work loss days", US_national_yearly!$D:$AM, 10, FALSE), 1)</f>
        <v>0.11652026431558384</v>
      </c>
      <c r="Q15" s="7">
        <f>$B15 * IFERROR(VLOOKUP("buildings|PM25|Work loss days", US_national_yearly!$D:$AM, 25, FALSE) / VLOOKUP("buildings|PM25|Work loss days", US_national_yearly!$D:$AM, 10, FALSE), 1)</f>
        <v>0.11734231144534489</v>
      </c>
      <c r="R15" s="7">
        <f>$B15 * IFERROR(VLOOKUP("buildings|PM25|Work loss days", US_national_yearly!$D:$AM, 26, FALSE) / VLOOKUP("buildings|PM25|Work loss days", US_national_yearly!$D:$AM, 10, FALSE), 1)</f>
        <v>0.11816435857510599</v>
      </c>
      <c r="S15" s="7">
        <f>$B15 * IFERROR(VLOOKUP("buildings|PM25|Work loss days", US_national_yearly!$D:$AM, 27, FALSE) / VLOOKUP("buildings|PM25|Work loss days", US_national_yearly!$D:$AM, 10, FALSE), 1)</f>
        <v>0.11907241179674771</v>
      </c>
      <c r="T15" s="7">
        <f>$B15 * IFERROR(VLOOKUP("buildings|PM25|Work loss days", US_national_yearly!$D:$AM, 28, FALSE) / VLOOKUP("buildings|PM25|Work loss days", US_national_yearly!$D:$AM, 10, FALSE), 1)</f>
        <v>0.11998046501838946</v>
      </c>
      <c r="U15" s="7">
        <f>$B15 * IFERROR(VLOOKUP("buildings|PM25|Work loss days", US_national_yearly!$D:$AM, 29, FALSE) / VLOOKUP("buildings|PM25|Work loss days", US_national_yearly!$D:$AM, 10, FALSE), 1)</f>
        <v>0.12088851824003122</v>
      </c>
      <c r="V15" s="7">
        <f>$B15 * IFERROR(VLOOKUP("buildings|PM25|Work loss days", US_national_yearly!$D:$AM, 30, FALSE) / VLOOKUP("buildings|PM25|Work loss days", US_national_yearly!$D:$AM, 10, FALSE), 1)</f>
        <v>0.12179657146167296</v>
      </c>
      <c r="W15" s="7">
        <f>$B15 * IFERROR(VLOOKUP("buildings|PM25|Work loss days", US_national_yearly!$D:$AM, 31, FALSE) / VLOOKUP("buildings|PM25|Work loss days", US_national_yearly!$D:$AM, 10, FALSE), 1)</f>
        <v>0.12270462468331471</v>
      </c>
      <c r="X15" s="7">
        <f>$B15 * IFERROR(VLOOKUP("buildings|PM25|Work loss days", US_national_yearly!$D:$AM, 32, FALSE) / VLOOKUP("buildings|PM25|Work loss days", US_national_yearly!$D:$AM, 10, FALSE), 1)</f>
        <v>0.12351043537150447</v>
      </c>
      <c r="Y15" s="7">
        <f>$B15 * IFERROR(VLOOKUP("buildings|PM25|Work loss days", US_national_yearly!$D:$AM, 33, FALSE) / VLOOKUP("buildings|PM25|Work loss days", US_national_yearly!$D:$AM, 10, FALSE), 1)</f>
        <v>0.12431624605969425</v>
      </c>
      <c r="Z15" s="7">
        <f>$B15 * IFERROR(VLOOKUP("buildings|PM25|Work loss days", US_national_yearly!$D:$AM, 34, FALSE) / VLOOKUP("buildings|PM25|Work loss days", US_national_yearly!$D:$AM, 10, FALSE), 1)</f>
        <v>0.12512205674788401</v>
      </c>
      <c r="AA15" s="7">
        <f>$B15 * IFERROR(VLOOKUP("buildings|PM25|Work loss days", US_national_yearly!$D:$AM, 35, FALSE) / VLOOKUP("buildings|PM25|Work loss days", US_national_yearly!$D:$AM, 10, FALSE), 1)</f>
        <v>0.12592786743607379</v>
      </c>
      <c r="AB15" s="7">
        <f>$B15 * IFERROR(VLOOKUP("buildings|PM25|Work loss days", US_national_yearly!$D:$AM, 36, FALSE) / VLOOKUP("buildings|PM25|Work loss days", US_national_yearly!$D:$AM, 10, FALSE), 1)</f>
        <v>0.12673367812426356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1.762498577323352E-4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1.8151732208713151E-4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1.8678478644192781E-4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1.9205225079672408E-4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1.9731971515152039E-4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2.0236674334614741E-4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2.0741377154077445E-4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2.1173449204289291E-4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2.1605521254501139E-4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2.2037593304712993E-4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2.2469665354924844E-4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2.2901737405136695E-4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2.3190253862111538E-4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2.3478770319086383E-4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2.3767286776061225E-4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2.4055803233036067E-4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2.434431969001091E-4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2.4497627652670436E-4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2.4650935615329962E-4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2.4804243577989488E-4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2.4957551540649015E-4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2.5110859503308546E-4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2.5214519678062273E-4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2.5318179852815994E-4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2.542184002756972E-4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2.5525500202323447E-4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2.5629160377077173E-4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1.3609207504799932E-4</v>
      </c>
      <c r="C2" s="7">
        <f>$B2 * IFERROR(VLOOKUP("buildings|NOx|Premature mortality", US_national_yearly!$D:$AM, 11, FALSE) / VLOOKUP("buildings|NOx|Premature mortality", US_national_yearly!$D:$AM, 10, FALSE), 1)</f>
        <v>1.380938103663098E-4</v>
      </c>
      <c r="D2" s="7">
        <f>$B2 * IFERROR(VLOOKUP("buildings|NOx|Premature mortality", US_national_yearly!$D:$AM, 12, FALSE) / VLOOKUP("buildings|NOx|Premature mortality", US_national_yearly!$D:$AM, 10, FALSE), 1)</f>
        <v>1.4009554568462026E-4</v>
      </c>
      <c r="E2" s="7">
        <f>$B2 * IFERROR(VLOOKUP("buildings|NOx|Premature mortality", US_national_yearly!$D:$AM, 13, FALSE) / VLOOKUP("buildings|NOx|Premature mortality", US_national_yearly!$D:$AM, 10, FALSE), 1)</f>
        <v>1.4209728100293074E-4</v>
      </c>
      <c r="F2" s="7">
        <f>$B2 * IFERROR(VLOOKUP("buildings|NOx|Premature mortality", US_national_yearly!$D:$AM, 14, FALSE) / VLOOKUP("buildings|NOx|Premature mortality", US_national_yearly!$D:$AM, 10, FALSE), 1)</f>
        <v>1.440990163212412E-4</v>
      </c>
      <c r="G2" s="7">
        <f>$B2 * IFERROR(VLOOKUP("buildings|NOx|Premature mortality", US_national_yearly!$D:$AM, 15, FALSE) / VLOOKUP("buildings|NOx|Premature mortality", US_national_yearly!$D:$AM, 10, FALSE), 1)</f>
        <v>1.4769285658706779E-4</v>
      </c>
      <c r="H2" s="7">
        <f>$B2 * IFERROR(VLOOKUP("buildings|NOx|Premature mortality", US_national_yearly!$D:$AM, 16, FALSE) / VLOOKUP("buildings|NOx|Premature mortality", US_national_yearly!$D:$AM, 10, FALSE), 1)</f>
        <v>1.5128669685289444E-4</v>
      </c>
      <c r="I2" s="7">
        <f>$B2 * IFERROR(VLOOKUP("buildings|NOx|Premature mortality", US_national_yearly!$D:$AM, 17, FALSE) / VLOOKUP("buildings|NOx|Premature mortality", US_national_yearly!$D:$AM, 10, FALSE), 1)</f>
        <v>1.5360923002515937E-4</v>
      </c>
      <c r="J2" s="7">
        <f>$B2 * IFERROR(VLOOKUP("buildings|NOx|Premature mortality", US_national_yearly!$D:$AM, 18, FALSE) / VLOOKUP("buildings|NOx|Premature mortality", US_national_yearly!$D:$AM, 10, FALSE), 1)</f>
        <v>1.5593176319742431E-4</v>
      </c>
      <c r="K2" s="7">
        <f>$B2 * IFERROR(VLOOKUP("buildings|NOx|Premature mortality", US_national_yearly!$D:$AM, 19, FALSE) / VLOOKUP("buildings|NOx|Premature mortality", US_national_yearly!$D:$AM, 10, FALSE), 1)</f>
        <v>1.5825429636968927E-4</v>
      </c>
      <c r="L2" s="7">
        <f>$B2 * IFERROR(VLOOKUP("buildings|NOx|Premature mortality", US_national_yearly!$D:$AM, 20, FALSE) / VLOOKUP("buildings|NOx|Premature mortality", US_national_yearly!$D:$AM, 10, FALSE), 1)</f>
        <v>1.605768295419542E-4</v>
      </c>
      <c r="M2" s="7">
        <f>$B2 * IFERROR(VLOOKUP("buildings|NOx|Premature mortality", US_national_yearly!$D:$AM, 21, FALSE) / VLOOKUP("buildings|NOx|Premature mortality", US_national_yearly!$D:$AM, 10, FALSE), 1)</f>
        <v>1.6289936271421916E-4</v>
      </c>
      <c r="N2" s="7">
        <f>$B2 * IFERROR(VLOOKUP("buildings|NOx|Premature mortality", US_national_yearly!$D:$AM, 22, FALSE) / VLOOKUP("buildings|NOx|Premature mortality", US_national_yearly!$D:$AM, 10, FALSE), 1)</f>
        <v>1.6462027113659693E-4</v>
      </c>
      <c r="O2" s="7">
        <f>$B2 * IFERROR(VLOOKUP("buildings|NOx|Premature mortality", US_national_yearly!$D:$AM, 23, FALSE) / VLOOKUP("buildings|NOx|Premature mortality", US_national_yearly!$D:$AM, 10, FALSE), 1)</f>
        <v>1.6634117955897473E-4</v>
      </c>
      <c r="P2" s="7">
        <f>$B2 * IFERROR(VLOOKUP("buildings|NOx|Premature mortality", US_national_yearly!$D:$AM, 24, FALSE) / VLOOKUP("buildings|NOx|Premature mortality", US_national_yearly!$D:$AM, 10, FALSE), 1)</f>
        <v>1.6806208798135253E-4</v>
      </c>
      <c r="Q2" s="7">
        <f>$B2 * IFERROR(VLOOKUP("buildings|NOx|Premature mortality", US_national_yearly!$D:$AM, 25, FALSE) / VLOOKUP("buildings|NOx|Premature mortality", US_national_yearly!$D:$AM, 10, FALSE), 1)</f>
        <v>1.697829964037303E-4</v>
      </c>
      <c r="R2" s="7">
        <f>$B2 * IFERROR(VLOOKUP("buildings|NOx|Premature mortality", US_national_yearly!$D:$AM, 26, FALSE) / VLOOKUP("buildings|NOx|Premature mortality", US_national_yearly!$D:$AM, 10, FALSE), 1)</f>
        <v>1.7150390482610807E-4</v>
      </c>
      <c r="S2" s="7">
        <f>$B2 * IFERROR(VLOOKUP("buildings|NOx|Premature mortality", US_national_yearly!$D:$AM, 27, FALSE) / VLOOKUP("buildings|NOx|Premature mortality", US_national_yearly!$D:$AM, 10, FALSE), 1)</f>
        <v>1.7228629764291456E-4</v>
      </c>
      <c r="T2" s="7">
        <f>$B2 * IFERROR(VLOOKUP("buildings|NOx|Premature mortality", US_national_yearly!$D:$AM, 28, FALSE) / VLOOKUP("buildings|NOx|Premature mortality", US_national_yearly!$D:$AM, 10, FALSE), 1)</f>
        <v>1.7306869045972102E-4</v>
      </c>
      <c r="U2" s="7">
        <f>$B2 * IFERROR(VLOOKUP("buildings|NOx|Premature mortality", US_national_yearly!$D:$AM, 29, FALSE) / VLOOKUP("buildings|NOx|Premature mortality", US_national_yearly!$D:$AM, 10, FALSE), 1)</f>
        <v>1.7385108327652748E-4</v>
      </c>
      <c r="V2" s="7">
        <f>$B2 * IFERROR(VLOOKUP("buildings|NOx|Premature mortality", US_national_yearly!$D:$AM, 30, FALSE) / VLOOKUP("buildings|NOx|Premature mortality", US_national_yearly!$D:$AM, 10, FALSE), 1)</f>
        <v>1.7463347609333397E-4</v>
      </c>
      <c r="W2" s="7">
        <f>$B2 * IFERROR(VLOOKUP("buildings|NOx|Premature mortality", US_national_yearly!$D:$AM, 31, FALSE) / VLOOKUP("buildings|NOx|Premature mortality", US_national_yearly!$D:$AM, 10, FALSE), 1)</f>
        <v>1.7541586891014043E-4</v>
      </c>
      <c r="X2" s="7">
        <f>$B2 * IFERROR(VLOOKUP("buildings|NOx|Premature mortality", US_national_yearly!$D:$AM, 32, FALSE) / VLOOKUP("buildings|NOx|Premature mortality", US_national_yearly!$D:$AM, 10, FALSE), 1)</f>
        <v>1.754434241473663E-4</v>
      </c>
      <c r="Y2" s="7">
        <f>$B2 * IFERROR(VLOOKUP("buildings|NOx|Premature mortality", US_national_yearly!$D:$AM, 33, FALSE) / VLOOKUP("buildings|NOx|Premature mortality", US_national_yearly!$D:$AM, 10, FALSE), 1)</f>
        <v>1.7547097938459217E-4</v>
      </c>
      <c r="Z2" s="7">
        <f>$B2 * IFERROR(VLOOKUP("buildings|NOx|Premature mortality", US_national_yearly!$D:$AM, 34, FALSE) / VLOOKUP("buildings|NOx|Premature mortality", US_national_yearly!$D:$AM, 10, FALSE), 1)</f>
        <v>1.7549853462181804E-4</v>
      </c>
      <c r="AA2" s="7">
        <f>$B2 * IFERROR(VLOOKUP("buildings|NOx|Premature mortality", US_national_yearly!$D:$AM, 35, FALSE) / VLOOKUP("buildings|NOx|Premature mortality", US_national_yearly!$D:$AM, 10, FALSE), 1)</f>
        <v>1.7552608985904388E-4</v>
      </c>
      <c r="AB2" s="7">
        <f>$B2 * IFERROR(VLOOKUP("buildings|NOx|Premature mortality", US_national_yearly!$D:$AM, 36, FALSE) / VLOOKUP("buildings|NOx|Premature mortality", US_national_yearly!$D:$AM, 10, FALSE), 1)</f>
        <v>1.7555364509626978E-4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2.7228143746497744E-7</v>
      </c>
      <c r="C3" s="7">
        <f>$B3 * IFERROR(VLOOKUP("buildings|NOx|Infant mortality", US_national_yearly!$D:$AM, 11, FALSE) / VLOOKUP("buildings|NOx|Infant mortality", US_national_yearly!$D:$AM, 10, FALSE), 1)</f>
        <v>2.6969508336851052E-7</v>
      </c>
      <c r="D3" s="7">
        <f>$B3 * IFERROR(VLOOKUP("buildings|NOx|Infant mortality", US_national_yearly!$D:$AM, 12, FALSE) / VLOOKUP("buildings|NOx|Infant mortality", US_national_yearly!$D:$AM, 10, FALSE), 1)</f>
        <v>2.6710872927204349E-7</v>
      </c>
      <c r="E3" s="7">
        <f>$B3 * IFERROR(VLOOKUP("buildings|NOx|Infant mortality", US_national_yearly!$D:$AM, 13, FALSE) / VLOOKUP("buildings|NOx|Infant mortality", US_national_yearly!$D:$AM, 10, FALSE), 1)</f>
        <v>2.6452237517557656E-7</v>
      </c>
      <c r="F3" s="7">
        <f>$B3 * IFERROR(VLOOKUP("buildings|NOx|Infant mortality", US_national_yearly!$D:$AM, 14, FALSE) / VLOOKUP("buildings|NOx|Infant mortality", US_national_yearly!$D:$AM, 10, FALSE), 1)</f>
        <v>2.6193602107910954E-7</v>
      </c>
      <c r="G3" s="7">
        <f>$B3 * IFERROR(VLOOKUP("buildings|NOx|Infant mortality", US_national_yearly!$D:$AM, 15, FALSE) / VLOOKUP("buildings|NOx|Infant mortality", US_national_yearly!$D:$AM, 10, FALSE), 1)</f>
        <v>1.7385674593172205E-7</v>
      </c>
      <c r="H3" s="7">
        <f>$B3 * IFERROR(VLOOKUP("buildings|NOx|Infant mortality", US_national_yearly!$D:$AM, 16, FALSE) / VLOOKUP("buildings|NOx|Infant mortality", US_national_yearly!$D:$AM, 10, FALSE), 1)</f>
        <v>8.5777470784334588E-8</v>
      </c>
      <c r="I3" s="7">
        <f>$B3 * IFERROR(VLOOKUP("buildings|NOx|Infant mortality", US_national_yearly!$D:$AM, 17, FALSE) / VLOOKUP("buildings|NOx|Infant mortality", US_national_yearly!$D:$AM, 10, FALSE), 1)</f>
        <v>8.5171490834589206E-8</v>
      </c>
      <c r="J3" s="7">
        <f>$B3 * IFERROR(VLOOKUP("buildings|NOx|Infant mortality", US_national_yearly!$D:$AM, 18, FALSE) / VLOOKUP("buildings|NOx|Infant mortality", US_national_yearly!$D:$AM, 10, FALSE), 1)</f>
        <v>8.456551088484381E-8</v>
      </c>
      <c r="K3" s="7">
        <f>$B3 * IFERROR(VLOOKUP("buildings|NOx|Infant mortality", US_national_yearly!$D:$AM, 19, FALSE) / VLOOKUP("buildings|NOx|Infant mortality", US_national_yearly!$D:$AM, 10, FALSE), 1)</f>
        <v>8.3959530935098428E-8</v>
      </c>
      <c r="L3" s="7">
        <f>$B3 * IFERROR(VLOOKUP("buildings|NOx|Infant mortality", US_national_yearly!$D:$AM, 20, FALSE) / VLOOKUP("buildings|NOx|Infant mortality", US_national_yearly!$D:$AM, 10, FALSE), 1)</f>
        <v>8.3353550985353046E-8</v>
      </c>
      <c r="M3" s="7">
        <f>$B3 * IFERROR(VLOOKUP("buildings|NOx|Infant mortality", US_national_yearly!$D:$AM, 21, FALSE) / VLOOKUP("buildings|NOx|Infant mortality", US_national_yearly!$D:$AM, 10, FALSE), 1)</f>
        <v>8.274757103560765E-8</v>
      </c>
      <c r="N3" s="7">
        <f>$B3 * IFERROR(VLOOKUP("buildings|NOx|Infant mortality", US_national_yearly!$D:$AM, 22, FALSE) / VLOOKUP("buildings|NOx|Infant mortality", US_national_yearly!$D:$AM, 10, FALSE), 1)</f>
        <v>8.2346022051684444E-8</v>
      </c>
      <c r="O3" s="7">
        <f>$B3 * IFERROR(VLOOKUP("buildings|NOx|Infant mortality", US_national_yearly!$D:$AM, 23, FALSE) / VLOOKUP("buildings|NOx|Infant mortality", US_national_yearly!$D:$AM, 10, FALSE), 1)</f>
        <v>8.194447306776125E-8</v>
      </c>
      <c r="P3" s="7">
        <f>$B3 * IFERROR(VLOOKUP("buildings|NOx|Infant mortality", US_national_yearly!$D:$AM, 24, FALSE) / VLOOKUP("buildings|NOx|Infant mortality", US_national_yearly!$D:$AM, 10, FALSE), 1)</f>
        <v>8.1542924083838044E-8</v>
      </c>
      <c r="Q3" s="7">
        <f>$B3 * IFERROR(VLOOKUP("buildings|NOx|Infant mortality", US_national_yearly!$D:$AM, 25, FALSE) / VLOOKUP("buildings|NOx|Infant mortality", US_national_yearly!$D:$AM, 10, FALSE), 1)</f>
        <v>8.1141375099914851E-8</v>
      </c>
      <c r="R3" s="7">
        <f>$B3 * IFERROR(VLOOKUP("buildings|NOx|Infant mortality", US_national_yearly!$D:$AM, 26, FALSE) / VLOOKUP("buildings|NOx|Infant mortality", US_national_yearly!$D:$AM, 10, FALSE), 1)</f>
        <v>8.0739826115991644E-8</v>
      </c>
      <c r="S3" s="7">
        <f>$B3 * IFERROR(VLOOKUP("buildings|NOx|Infant mortality", US_national_yearly!$D:$AM, 27, FALSE) / VLOOKUP("buildings|NOx|Infant mortality", US_national_yearly!$D:$AM, 10, FALSE), 1)</f>
        <v>8.025678833439401E-8</v>
      </c>
      <c r="T3" s="7">
        <f>$B3 * IFERROR(VLOOKUP("buildings|NOx|Infant mortality", US_national_yearly!$D:$AM, 28, FALSE) / VLOOKUP("buildings|NOx|Infant mortality", US_national_yearly!$D:$AM, 10, FALSE), 1)</f>
        <v>7.9773750552796389E-8</v>
      </c>
      <c r="U3" s="7">
        <f>$B3 * IFERROR(VLOOKUP("buildings|NOx|Infant mortality", US_national_yearly!$D:$AM, 29, FALSE) / VLOOKUP("buildings|NOx|Infant mortality", US_national_yearly!$D:$AM, 10, FALSE), 1)</f>
        <v>7.9290712771198742E-8</v>
      </c>
      <c r="V3" s="7">
        <f>$B3 * IFERROR(VLOOKUP("buildings|NOx|Infant mortality", US_national_yearly!$D:$AM, 30, FALSE) / VLOOKUP("buildings|NOx|Infant mortality", US_national_yearly!$D:$AM, 10, FALSE), 1)</f>
        <v>7.8807674989601108E-8</v>
      </c>
      <c r="W3" s="7">
        <f>$B3 * IFERROR(VLOOKUP("buildings|NOx|Infant mortality", US_national_yearly!$D:$AM, 31, FALSE) / VLOOKUP("buildings|NOx|Infant mortality", US_national_yearly!$D:$AM, 10, FALSE), 1)</f>
        <v>7.8324637208003487E-8</v>
      </c>
      <c r="X3" s="7">
        <f>$B3 * IFERROR(VLOOKUP("buildings|NOx|Infant mortality", US_national_yearly!$D:$AM, 32, FALSE) / VLOOKUP("buildings|NOx|Infant mortality", US_national_yearly!$D:$AM, 10, FALSE), 1)</f>
        <v>7.7813540899647415E-8</v>
      </c>
      <c r="Y3" s="7">
        <f>$B3 * IFERROR(VLOOKUP("buildings|NOx|Infant mortality", US_national_yearly!$D:$AM, 33, FALSE) / VLOOKUP("buildings|NOx|Infant mortality", US_national_yearly!$D:$AM, 10, FALSE), 1)</f>
        <v>7.7302444591291356E-8</v>
      </c>
      <c r="Z3" s="7">
        <f>$B3 * IFERROR(VLOOKUP("buildings|NOx|Infant mortality", US_national_yearly!$D:$AM, 34, FALSE) / VLOOKUP("buildings|NOx|Infant mortality", US_national_yearly!$D:$AM, 10, FALSE), 1)</f>
        <v>7.6791348282935283E-8</v>
      </c>
      <c r="AA3" s="7">
        <f>$B3 * IFERROR(VLOOKUP("buildings|NOx|Infant mortality", US_national_yearly!$D:$AM, 35, FALSE) / VLOOKUP("buildings|NOx|Infant mortality", US_national_yearly!$D:$AM, 10, FALSE), 1)</f>
        <v>7.6280251974579211E-8</v>
      </c>
      <c r="AB3" s="7">
        <f>$B3 * IFERROR(VLOOKUP("buildings|NOx|Infant mortality", US_national_yearly!$D:$AM, 36, FALSE) / VLOOKUP("buildings|NOx|Infant mortality", US_national_yearly!$D:$AM, 10, FALSE), 1)</f>
        <v>7.5769155666223139E-8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3.0327542764723163E-4</v>
      </c>
      <c r="C6" s="7">
        <f>$B6 * IFERROR(VLOOKUP("buildings|NOx|Asthma symptoms cough", US_national_yearly!$D:$AM, 11, FALSE) / VLOOKUP("buildings|NOx|Asthma symptoms cough", US_national_yearly!$D:$AM, 10, FALSE), 1)</f>
        <v>3.0742583448120306E-4</v>
      </c>
      <c r="D6" s="7">
        <f>$B6 * IFERROR(VLOOKUP("buildings|NOx|Asthma symptoms cough", US_national_yearly!$D:$AM, 12, FALSE) / VLOOKUP("buildings|NOx|Asthma symptoms cough", US_national_yearly!$D:$AM, 10, FALSE), 1)</f>
        <v>3.1157624131517453E-4</v>
      </c>
      <c r="E6" s="7">
        <f>$B6 * IFERROR(VLOOKUP("buildings|NOx|Asthma symptoms cough", US_national_yearly!$D:$AM, 13, FALSE) / VLOOKUP("buildings|NOx|Asthma symptoms cough", US_national_yearly!$D:$AM, 10, FALSE), 1)</f>
        <v>3.1572664814914596E-4</v>
      </c>
      <c r="F6" s="7">
        <f>$B6 * IFERROR(VLOOKUP("buildings|NOx|Asthma symptoms cough", US_national_yearly!$D:$AM, 14, FALSE) / VLOOKUP("buildings|NOx|Asthma symptoms cough", US_national_yearly!$D:$AM, 10, FALSE), 1)</f>
        <v>3.1987705498311738E-4</v>
      </c>
      <c r="G6" s="7">
        <f>$B6 * IFERROR(VLOOKUP("buildings|NOx|Asthma symptoms cough", US_national_yearly!$D:$AM, 15, FALSE) / VLOOKUP("buildings|NOx|Asthma symptoms cough", US_national_yearly!$D:$AM, 10, FALSE), 1)</f>
        <v>3.2319400774509396E-4</v>
      </c>
      <c r="H6" s="7">
        <f>$B6 * IFERROR(VLOOKUP("buildings|NOx|Asthma symptoms cough", US_national_yearly!$D:$AM, 16, FALSE) / VLOOKUP("buildings|NOx|Asthma symptoms cough", US_national_yearly!$D:$AM, 10, FALSE), 1)</f>
        <v>3.265109605070706E-4</v>
      </c>
      <c r="I6" s="7">
        <f>$B6 * IFERROR(VLOOKUP("buildings|NOx|Asthma symptoms cough", US_national_yearly!$D:$AM, 17, FALSE) / VLOOKUP("buildings|NOx|Asthma symptoms cough", US_national_yearly!$D:$AM, 10, FALSE), 1)</f>
        <v>3.2765885989226708E-4</v>
      </c>
      <c r="J6" s="7">
        <f>$B6 * IFERROR(VLOOKUP("buildings|NOx|Asthma symptoms cough", US_national_yearly!$D:$AM, 18, FALSE) / VLOOKUP("buildings|NOx|Asthma symptoms cough", US_national_yearly!$D:$AM, 10, FALSE), 1)</f>
        <v>3.2880675927746356E-4</v>
      </c>
      <c r="K6" s="7">
        <f>$B6 * IFERROR(VLOOKUP("buildings|NOx|Asthma symptoms cough", US_national_yearly!$D:$AM, 19, FALSE) / VLOOKUP("buildings|NOx|Asthma symptoms cough", US_national_yearly!$D:$AM, 10, FALSE), 1)</f>
        <v>3.2995465866265998E-4</v>
      </c>
      <c r="L6" s="7">
        <f>$B6 * IFERROR(VLOOKUP("buildings|NOx|Asthma symptoms cough", US_national_yearly!$D:$AM, 20, FALSE) / VLOOKUP("buildings|NOx|Asthma symptoms cough", US_national_yearly!$D:$AM, 10, FALSE), 1)</f>
        <v>3.3110255804785652E-4</v>
      </c>
      <c r="M6" s="7">
        <f>$B6 * IFERROR(VLOOKUP("buildings|NOx|Asthma symptoms cough", US_national_yearly!$D:$AM, 21, FALSE) / VLOOKUP("buildings|NOx|Asthma symptoms cough", US_national_yearly!$D:$AM, 10, FALSE), 1)</f>
        <v>3.3225045743305294E-4</v>
      </c>
      <c r="N6" s="7">
        <f>$B6 * IFERROR(VLOOKUP("buildings|NOx|Asthma symptoms cough", US_national_yearly!$D:$AM, 22, FALSE) / VLOOKUP("buildings|NOx|Asthma symptoms cough", US_national_yearly!$D:$AM, 10, FALSE), 1)</f>
        <v>3.3357778762116403E-4</v>
      </c>
      <c r="O6" s="7">
        <f>$B6 * IFERROR(VLOOKUP("buildings|NOx|Asthma symptoms cough", US_national_yearly!$D:$AM, 23, FALSE) / VLOOKUP("buildings|NOx|Asthma symptoms cough", US_national_yearly!$D:$AM, 10, FALSE), 1)</f>
        <v>3.3490511780927501E-4</v>
      </c>
      <c r="P6" s="7">
        <f>$B6 * IFERROR(VLOOKUP("buildings|NOx|Asthma symptoms cough", US_national_yearly!$D:$AM, 24, FALSE) / VLOOKUP("buildings|NOx|Asthma symptoms cough", US_national_yearly!$D:$AM, 10, FALSE), 1)</f>
        <v>3.3623244799738604E-4</v>
      </c>
      <c r="Q6" s="7">
        <f>$B6 * IFERROR(VLOOKUP("buildings|NOx|Asthma symptoms cough", US_national_yearly!$D:$AM, 25, FALSE) / VLOOKUP("buildings|NOx|Asthma symptoms cough", US_national_yearly!$D:$AM, 10, FALSE), 1)</f>
        <v>3.3755977818549713E-4</v>
      </c>
      <c r="R6" s="7">
        <f>$B6 * IFERROR(VLOOKUP("buildings|NOx|Asthma symptoms cough", US_national_yearly!$D:$AM, 26, FALSE) / VLOOKUP("buildings|NOx|Asthma symptoms cough", US_national_yearly!$D:$AM, 10, FALSE), 1)</f>
        <v>3.3888710837360817E-4</v>
      </c>
      <c r="S6" s="7">
        <f>$B6 * IFERROR(VLOOKUP("buildings|NOx|Asthma symptoms cough", US_national_yearly!$D:$AM, 27, FALSE) / VLOOKUP("buildings|NOx|Asthma symptoms cough", US_national_yearly!$D:$AM, 10, FALSE), 1)</f>
        <v>3.4062062972904053E-4</v>
      </c>
      <c r="T6" s="7">
        <f>$B6 * IFERROR(VLOOKUP("buildings|NOx|Asthma symptoms cough", US_national_yearly!$D:$AM, 28, FALSE) / VLOOKUP("buildings|NOx|Asthma symptoms cough", US_national_yearly!$D:$AM, 10, FALSE), 1)</f>
        <v>3.423541510844729E-4</v>
      </c>
      <c r="U6" s="7">
        <f>$B6 * IFERROR(VLOOKUP("buildings|NOx|Asthma symptoms cough", US_national_yearly!$D:$AM, 29, FALSE) / VLOOKUP("buildings|NOx|Asthma symptoms cough", US_national_yearly!$D:$AM, 10, FALSE), 1)</f>
        <v>3.4408767243990522E-4</v>
      </c>
      <c r="V6" s="7">
        <f>$B6 * IFERROR(VLOOKUP("buildings|NOx|Asthma symptoms cough", US_national_yearly!$D:$AM, 30, FALSE) / VLOOKUP("buildings|NOx|Asthma symptoms cough", US_national_yearly!$D:$AM, 10, FALSE), 1)</f>
        <v>3.458211937953377E-4</v>
      </c>
      <c r="W6" s="7">
        <f>$B6 * IFERROR(VLOOKUP("buildings|NOx|Asthma symptoms cough", US_national_yearly!$D:$AM, 31, FALSE) / VLOOKUP("buildings|NOx|Asthma symptoms cough", US_national_yearly!$D:$AM, 10, FALSE), 1)</f>
        <v>3.4755471515077001E-4</v>
      </c>
      <c r="X6" s="7">
        <f>$B6 * IFERROR(VLOOKUP("buildings|NOx|Asthma symptoms cough", US_national_yearly!$D:$AM, 32, FALSE) / VLOOKUP("buildings|NOx|Asthma symptoms cough", US_national_yearly!$D:$AM, 10, FALSE), 1)</f>
        <v>3.4916539502712372E-4</v>
      </c>
      <c r="Y6" s="7">
        <f>$B6 * IFERROR(VLOOKUP("buildings|NOx|Asthma symptoms cough", US_national_yearly!$D:$AM, 33, FALSE) / VLOOKUP("buildings|NOx|Asthma symptoms cough", US_national_yearly!$D:$AM, 10, FALSE), 1)</f>
        <v>3.5077607490347748E-4</v>
      </c>
      <c r="Z6" s="7">
        <f>$B6 * IFERROR(VLOOKUP("buildings|NOx|Asthma symptoms cough", US_national_yearly!$D:$AM, 34, FALSE) / VLOOKUP("buildings|NOx|Asthma symptoms cough", US_national_yearly!$D:$AM, 10, FALSE), 1)</f>
        <v>3.5238675477983124E-4</v>
      </c>
      <c r="AA6" s="7">
        <f>$B6 * IFERROR(VLOOKUP("buildings|NOx|Asthma symptoms cough", US_national_yearly!$D:$AM, 35, FALSE) / VLOOKUP("buildings|NOx|Asthma symptoms cough", US_national_yearly!$D:$AM, 10, FALSE), 1)</f>
        <v>3.5399743465618495E-4</v>
      </c>
      <c r="AB6" s="7">
        <f>$B6 * IFERROR(VLOOKUP("buildings|NOx|Asthma symptoms cough", US_national_yearly!$D:$AM, 36, FALSE) / VLOOKUP("buildings|NOx|Asthma symptoms cough", US_national_yearly!$D:$AM, 10, FALSE), 1)</f>
        <v>3.5560811453253871E-4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4.0840453439808591E-4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4.1399366168210449E-4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4.1958278896612306E-4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4.2517191625014158E-4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4.3076104353416015E-4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4.3522780351383977E-4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4.3969456349351934E-4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4.4124037718212822E-4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4.4278619087073705E-4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4.4433200455934598E-4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4.4587781824795487E-4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4.4742363193656375E-4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4.4921107533776275E-4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4.5099851873896176E-4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4.5278596214016077E-4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4.5457340554135977E-4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4.5636084894255878E-4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4.5869528791718284E-4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4.6102972689180684E-4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4.6336416586643091E-4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4.6569860484105486E-4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4.6803304381567886E-4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4.7020205884677627E-4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4.7237107387787362E-4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4.7454008890897108E-4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4.7670910394006832E-4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4.7887811897116573E-4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6.2397232335426349E-4</v>
      </c>
      <c r="C8" s="7">
        <f>$B8 * IFERROR(VLOOKUP("buildings|NOx|Asthma symptoms wheeze", US_national_yearly!$D:$AM, 11, FALSE) / VLOOKUP("buildings|NOx|Asthma symptoms wheeze", US_national_yearly!$D:$AM, 10, FALSE), 1)</f>
        <v>6.3251155456126398E-4</v>
      </c>
      <c r="D8" s="7">
        <f>$B8 * IFERROR(VLOOKUP("buildings|NOx|Asthma symptoms wheeze", US_national_yearly!$D:$AM, 12, FALSE) / VLOOKUP("buildings|NOx|Asthma symptoms wheeze", US_national_yearly!$D:$AM, 10, FALSE), 1)</f>
        <v>6.4105078576826458E-4</v>
      </c>
      <c r="E8" s="7">
        <f>$B8 * IFERROR(VLOOKUP("buildings|NOx|Asthma symptoms wheeze", US_national_yearly!$D:$AM, 13, FALSE) / VLOOKUP("buildings|NOx|Asthma symptoms wheeze", US_national_yearly!$D:$AM, 10, FALSE), 1)</f>
        <v>6.4959001697526496E-4</v>
      </c>
      <c r="F8" s="7">
        <f>$B8 * IFERROR(VLOOKUP("buildings|NOx|Asthma symptoms wheeze", US_national_yearly!$D:$AM, 14, FALSE) / VLOOKUP("buildings|NOx|Asthma symptoms wheeze", US_national_yearly!$D:$AM, 10, FALSE), 1)</f>
        <v>6.5812924818226556E-4</v>
      </c>
      <c r="G8" s="7">
        <f>$B8 * IFERROR(VLOOKUP("buildings|NOx|Asthma symptoms wheeze", US_national_yearly!$D:$AM, 15, FALSE) / VLOOKUP("buildings|NOx|Asthma symptoms wheeze", US_national_yearly!$D:$AM, 10, FALSE), 1)</f>
        <v>6.6495369399464683E-4</v>
      </c>
      <c r="H8" s="7">
        <f>$B8 * IFERROR(VLOOKUP("buildings|NOx|Asthma symptoms wheeze", US_national_yearly!$D:$AM, 16, FALSE) / VLOOKUP("buildings|NOx|Asthma symptoms wheeze", US_national_yearly!$D:$AM, 10, FALSE), 1)</f>
        <v>6.7177813980702798E-4</v>
      </c>
      <c r="I8" s="7">
        <f>$B8 * IFERROR(VLOOKUP("buildings|NOx|Asthma symptoms wheeze", US_national_yearly!$D:$AM, 17, FALSE) / VLOOKUP("buildings|NOx|Asthma symptoms wheeze", US_national_yearly!$D:$AM, 10, FALSE), 1)</f>
        <v>6.7413987894403E-4</v>
      </c>
      <c r="J8" s="7">
        <f>$B8 * IFERROR(VLOOKUP("buildings|NOx|Asthma symptoms wheeze", US_national_yearly!$D:$AM, 18, FALSE) / VLOOKUP("buildings|NOx|Asthma symptoms wheeze", US_national_yearly!$D:$AM, 10, FALSE), 1)</f>
        <v>6.7650161808103181E-4</v>
      </c>
      <c r="K8" s="7">
        <f>$B8 * IFERROR(VLOOKUP("buildings|NOx|Asthma symptoms wheeze", US_national_yearly!$D:$AM, 19, FALSE) / VLOOKUP("buildings|NOx|Asthma symptoms wheeze", US_national_yearly!$D:$AM, 10, FALSE), 1)</f>
        <v>6.7886335721803373E-4</v>
      </c>
      <c r="L8" s="7">
        <f>$B8 * IFERROR(VLOOKUP("buildings|NOx|Asthma symptoms wheeze", US_national_yearly!$D:$AM, 20, FALSE) / VLOOKUP("buildings|NOx|Asthma symptoms wheeze", US_national_yearly!$D:$AM, 10, FALSE), 1)</f>
        <v>6.8122509635503553E-4</v>
      </c>
      <c r="M8" s="7">
        <f>$B8 * IFERROR(VLOOKUP("buildings|NOx|Asthma symptoms wheeze", US_national_yearly!$D:$AM, 21, FALSE) / VLOOKUP("buildings|NOx|Asthma symptoms wheeze", US_national_yearly!$D:$AM, 10, FALSE), 1)</f>
        <v>6.8358683549203756E-4</v>
      </c>
      <c r="N8" s="7">
        <f>$B8 * IFERROR(VLOOKUP("buildings|NOx|Asthma symptoms wheeze", US_national_yearly!$D:$AM, 22, FALSE) / VLOOKUP("buildings|NOx|Asthma symptoms wheeze", US_national_yearly!$D:$AM, 10, FALSE), 1)</f>
        <v>6.8631774352590272E-4</v>
      </c>
      <c r="O8" s="7">
        <f>$B8 * IFERROR(VLOOKUP("buildings|NOx|Asthma symptoms wheeze", US_national_yearly!$D:$AM, 23, FALSE) / VLOOKUP("buildings|NOx|Asthma symptoms wheeze", US_national_yearly!$D:$AM, 10, FALSE), 1)</f>
        <v>6.8904865155976799E-4</v>
      </c>
      <c r="P8" s="7">
        <f>$B8 * IFERROR(VLOOKUP("buildings|NOx|Asthma symptoms wheeze", US_national_yearly!$D:$AM, 24, FALSE) / VLOOKUP("buildings|NOx|Asthma symptoms wheeze", US_national_yearly!$D:$AM, 10, FALSE), 1)</f>
        <v>6.9177955959363316E-4</v>
      </c>
      <c r="Q8" s="7">
        <f>$B8 * IFERROR(VLOOKUP("buildings|NOx|Asthma symptoms wheeze", US_national_yearly!$D:$AM, 25, FALSE) / VLOOKUP("buildings|NOx|Asthma symptoms wheeze", US_national_yearly!$D:$AM, 10, FALSE), 1)</f>
        <v>6.9451046762749843E-4</v>
      </c>
      <c r="R8" s="7">
        <f>$B8 * IFERROR(VLOOKUP("buildings|NOx|Asthma symptoms wheeze", US_national_yearly!$D:$AM, 26, FALSE) / VLOOKUP("buildings|NOx|Asthma symptoms wheeze", US_national_yearly!$D:$AM, 10, FALSE), 1)</f>
        <v>6.9724137566136359E-4</v>
      </c>
      <c r="S8" s="7">
        <f>$B8 * IFERROR(VLOOKUP("buildings|NOx|Asthma symptoms wheeze", US_national_yearly!$D:$AM, 27, FALSE) / VLOOKUP("buildings|NOx|Asthma symptoms wheeze", US_national_yearly!$D:$AM, 10, FALSE), 1)</f>
        <v>7.0080799942984901E-4</v>
      </c>
      <c r="T8" s="7">
        <f>$B8 * IFERROR(VLOOKUP("buildings|NOx|Asthma symptoms wheeze", US_national_yearly!$D:$AM, 28, FALSE) / VLOOKUP("buildings|NOx|Asthma symptoms wheeze", US_national_yearly!$D:$AM, 10, FALSE), 1)</f>
        <v>7.0437462319833432E-4</v>
      </c>
      <c r="U8" s="7">
        <f>$B8 * IFERROR(VLOOKUP("buildings|NOx|Asthma symptoms wheeze", US_national_yearly!$D:$AM, 29, FALSE) / VLOOKUP("buildings|NOx|Asthma symptoms wheeze", US_national_yearly!$D:$AM, 10, FALSE), 1)</f>
        <v>7.0794124696681973E-4</v>
      </c>
      <c r="V8" s="7">
        <f>$B8 * IFERROR(VLOOKUP("buildings|NOx|Asthma symptoms wheeze", US_national_yearly!$D:$AM, 30, FALSE) / VLOOKUP("buildings|NOx|Asthma symptoms wheeze", US_national_yearly!$D:$AM, 10, FALSE), 1)</f>
        <v>7.1150787073530515E-4</v>
      </c>
      <c r="W8" s="7">
        <f>$B8 * IFERROR(VLOOKUP("buildings|NOx|Asthma symptoms wheeze", US_national_yearly!$D:$AM, 31, FALSE) / VLOOKUP("buildings|NOx|Asthma symptoms wheeze", US_national_yearly!$D:$AM, 10, FALSE), 1)</f>
        <v>7.1507449450379046E-4</v>
      </c>
      <c r="X8" s="7">
        <f>$B8 * IFERROR(VLOOKUP("buildings|NOx|Asthma symptoms wheeze", US_national_yearly!$D:$AM, 32, FALSE) / VLOOKUP("buildings|NOx|Asthma symptoms wheeze", US_national_yearly!$D:$AM, 10, FALSE), 1)</f>
        <v>7.1838837876181676E-4</v>
      </c>
      <c r="Y8" s="7">
        <f>$B8 * IFERROR(VLOOKUP("buildings|NOx|Asthma symptoms wheeze", US_national_yearly!$D:$AM, 33, FALSE) / VLOOKUP("buildings|NOx|Asthma symptoms wheeze", US_national_yearly!$D:$AM, 10, FALSE), 1)</f>
        <v>7.2170226301984306E-4</v>
      </c>
      <c r="Z8" s="7">
        <f>$B8 * IFERROR(VLOOKUP("buildings|NOx|Asthma symptoms wheeze", US_national_yearly!$D:$AM, 34, FALSE) / VLOOKUP("buildings|NOx|Asthma symptoms wheeze", US_national_yearly!$D:$AM, 10, FALSE), 1)</f>
        <v>7.2501614727786946E-4</v>
      </c>
      <c r="AA8" s="7">
        <f>$B8 * IFERROR(VLOOKUP("buildings|NOx|Asthma symptoms wheeze", US_national_yearly!$D:$AM, 35, FALSE) / VLOOKUP("buildings|NOx|Asthma symptoms wheeze", US_national_yearly!$D:$AM, 10, FALSE), 1)</f>
        <v>7.2833003153589576E-4</v>
      </c>
      <c r="AB8" s="7">
        <f>$B8 * IFERROR(VLOOKUP("buildings|NOx|Asthma symptoms wheeze", US_national_yearly!$D:$AM, 36, FALSE) / VLOOKUP("buildings|NOx|Asthma symptoms wheeze", US_national_yearly!$D:$AM, 10, FALSE), 1)</f>
        <v>7.3164391579392217E-4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5.9536009424950114E-6</v>
      </c>
      <c r="C12" s="7">
        <f>$B12 * IFERROR(VLOOKUP("buildings|NOx|Respiratory hospital admissions", US_national_yearly!$D:$AM, 11, FALSE) / VLOOKUP("buildings|NOx|Respiratory hospital admissions", US_national_yearly!$D:$AM, 10, FALSE), 1)</f>
        <v>6.1023477951173647E-6</v>
      </c>
      <c r="D12" s="7">
        <f>$B12 * IFERROR(VLOOKUP("buildings|NOx|Respiratory hospital admissions", US_national_yearly!$D:$AM, 12, FALSE) / VLOOKUP("buildings|NOx|Respiratory hospital admissions", US_national_yearly!$D:$AM, 10, FALSE), 1)</f>
        <v>6.2510946477397172E-6</v>
      </c>
      <c r="E12" s="7">
        <f>$B12 * IFERROR(VLOOKUP("buildings|NOx|Respiratory hospital admissions", US_national_yearly!$D:$AM, 13, FALSE) / VLOOKUP("buildings|NOx|Respiratory hospital admissions", US_national_yearly!$D:$AM, 10, FALSE), 1)</f>
        <v>6.3998415003620705E-6</v>
      </c>
      <c r="F12" s="7">
        <f>$B12 * IFERROR(VLOOKUP("buildings|NOx|Respiratory hospital admissions", US_national_yearly!$D:$AM, 14, FALSE) / VLOOKUP("buildings|NOx|Respiratory hospital admissions", US_national_yearly!$D:$AM, 10, FALSE), 1)</f>
        <v>6.5485883529844238E-6</v>
      </c>
      <c r="G12" s="7">
        <f>$B12 * IFERROR(VLOOKUP("buildings|NOx|Respiratory hospital admissions", US_national_yearly!$D:$AM, 15, FALSE) / VLOOKUP("buildings|NOx|Respiratory hospital admissions", US_national_yearly!$D:$AM, 10, FALSE), 1)</f>
        <v>6.6907948704258303E-6</v>
      </c>
      <c r="H12" s="7">
        <f>$B12 * IFERROR(VLOOKUP("buildings|NOx|Respiratory hospital admissions", US_national_yearly!$D:$AM, 16, FALSE) / VLOOKUP("buildings|NOx|Respiratory hospital admissions", US_national_yearly!$D:$AM, 10, FALSE), 1)</f>
        <v>6.8330013878672344E-6</v>
      </c>
      <c r="I12" s="7">
        <f>$B12 * IFERROR(VLOOKUP("buildings|NOx|Respiratory hospital admissions", US_national_yearly!$D:$AM, 17, FALSE) / VLOOKUP("buildings|NOx|Respiratory hospital admissions", US_national_yearly!$D:$AM, 10, FALSE), 1)</f>
        <v>6.9538024740104106E-6</v>
      </c>
      <c r="J12" s="7">
        <f>$B12 * IFERROR(VLOOKUP("buildings|NOx|Respiratory hospital admissions", US_national_yearly!$D:$AM, 18, FALSE) / VLOOKUP("buildings|NOx|Respiratory hospital admissions", US_national_yearly!$D:$AM, 10, FALSE), 1)</f>
        <v>7.0746035601535859E-6</v>
      </c>
      <c r="K12" s="7">
        <f>$B12 * IFERROR(VLOOKUP("buildings|NOx|Respiratory hospital admissions", US_national_yearly!$D:$AM, 19, FALSE) / VLOOKUP("buildings|NOx|Respiratory hospital admissions", US_national_yearly!$D:$AM, 10, FALSE), 1)</f>
        <v>7.1954046462967621E-6</v>
      </c>
      <c r="L12" s="7">
        <f>$B12 * IFERROR(VLOOKUP("buildings|NOx|Respiratory hospital admissions", US_national_yearly!$D:$AM, 20, FALSE) / VLOOKUP("buildings|NOx|Respiratory hospital admissions", US_national_yearly!$D:$AM, 10, FALSE), 1)</f>
        <v>7.3162057324399383E-6</v>
      </c>
      <c r="M12" s="7">
        <f>$B12 * IFERROR(VLOOKUP("buildings|NOx|Respiratory hospital admissions", US_national_yearly!$D:$AM, 21, FALSE) / VLOOKUP("buildings|NOx|Respiratory hospital admissions", US_national_yearly!$D:$AM, 10, FALSE), 1)</f>
        <v>7.4370068185831136E-6</v>
      </c>
      <c r="N12" s="7">
        <f>$B12 * IFERROR(VLOOKUP("buildings|NOx|Respiratory hospital admissions", US_national_yearly!$D:$AM, 22, FALSE) / VLOOKUP("buildings|NOx|Respiratory hospital admissions", US_national_yearly!$D:$AM, 10, FALSE), 1)</f>
        <v>7.5177616799972202E-6</v>
      </c>
      <c r="O12" s="7">
        <f>$B12 * IFERROR(VLOOKUP("buildings|NOx|Respiratory hospital admissions", US_national_yearly!$D:$AM, 23, FALSE) / VLOOKUP("buildings|NOx|Respiratory hospital admissions", US_national_yearly!$D:$AM, 10, FALSE), 1)</f>
        <v>7.5985165414113259E-6</v>
      </c>
      <c r="P12" s="7">
        <f>$B12 * IFERROR(VLOOKUP("buildings|NOx|Respiratory hospital admissions", US_national_yearly!$D:$AM, 24, FALSE) / VLOOKUP("buildings|NOx|Respiratory hospital admissions", US_national_yearly!$D:$AM, 10, FALSE), 1)</f>
        <v>7.6792714028254308E-6</v>
      </c>
      <c r="Q12" s="7">
        <f>$B12 * IFERROR(VLOOKUP("buildings|NOx|Respiratory hospital admissions", US_national_yearly!$D:$AM, 25, FALSE) / VLOOKUP("buildings|NOx|Respiratory hospital admissions", US_national_yearly!$D:$AM, 10, FALSE), 1)</f>
        <v>7.760026264239539E-6</v>
      </c>
      <c r="R12" s="7">
        <f>$B12 * IFERROR(VLOOKUP("buildings|NOx|Respiratory hospital admissions", US_national_yearly!$D:$AM, 26, FALSE) / VLOOKUP("buildings|NOx|Respiratory hospital admissions", US_national_yearly!$D:$AM, 10, FALSE), 1)</f>
        <v>7.8407811256536439E-6</v>
      </c>
      <c r="S12" s="7">
        <f>$B12 * IFERROR(VLOOKUP("buildings|NOx|Respiratory hospital admissions", US_national_yearly!$D:$AM, 27, FALSE) / VLOOKUP("buildings|NOx|Respiratory hospital admissions", US_national_yearly!$D:$AM, 10, FALSE), 1)</f>
        <v>7.8840794367909153E-6</v>
      </c>
      <c r="T12" s="7">
        <f>$B12 * IFERROR(VLOOKUP("buildings|NOx|Respiratory hospital admissions", US_national_yearly!$D:$AM, 28, FALSE) / VLOOKUP("buildings|NOx|Respiratory hospital admissions", US_national_yearly!$D:$AM, 10, FALSE), 1)</f>
        <v>7.9273777479281867E-6</v>
      </c>
      <c r="U12" s="7">
        <f>$B12 * IFERROR(VLOOKUP("buildings|NOx|Respiratory hospital admissions", US_national_yearly!$D:$AM, 29, FALSE) / VLOOKUP("buildings|NOx|Respiratory hospital admissions", US_national_yearly!$D:$AM, 10, FALSE), 1)</f>
        <v>7.9706760590654598E-6</v>
      </c>
      <c r="V12" s="7">
        <f>$B12 * IFERROR(VLOOKUP("buildings|NOx|Respiratory hospital admissions", US_national_yearly!$D:$AM, 30, FALSE) / VLOOKUP("buildings|NOx|Respiratory hospital admissions", US_national_yearly!$D:$AM, 10, FALSE), 1)</f>
        <v>8.0139743702027312E-6</v>
      </c>
      <c r="W12" s="7">
        <f>$B12 * IFERROR(VLOOKUP("buildings|NOx|Respiratory hospital admissions", US_national_yearly!$D:$AM, 31, FALSE) / VLOOKUP("buildings|NOx|Respiratory hospital admissions", US_national_yearly!$D:$AM, 10, FALSE), 1)</f>
        <v>8.0572726813400027E-6</v>
      </c>
      <c r="X12" s="7">
        <f>$B12 * IFERROR(VLOOKUP("buildings|NOx|Respiratory hospital admissions", US_national_yearly!$D:$AM, 32, FALSE) / VLOOKUP("buildings|NOx|Respiratory hospital admissions", US_national_yearly!$D:$AM, 10, FALSE), 1)</f>
        <v>8.0869124183260437E-6</v>
      </c>
      <c r="Y12" s="7">
        <f>$B12 * IFERROR(VLOOKUP("buildings|NOx|Respiratory hospital admissions", US_national_yearly!$D:$AM, 33, FALSE) / VLOOKUP("buildings|NOx|Respiratory hospital admissions", US_national_yearly!$D:$AM, 10, FALSE), 1)</f>
        <v>8.1165521553120864E-6</v>
      </c>
      <c r="Z12" s="7">
        <f>$B12 * IFERROR(VLOOKUP("buildings|NOx|Respiratory hospital admissions", US_national_yearly!$D:$AM, 34, FALSE) / VLOOKUP("buildings|NOx|Respiratory hospital admissions", US_national_yearly!$D:$AM, 10, FALSE), 1)</f>
        <v>8.1461918922981292E-6</v>
      </c>
      <c r="AA12" s="7">
        <f>$B12 * IFERROR(VLOOKUP("buildings|NOx|Respiratory hospital admissions", US_national_yearly!$D:$AM, 35, FALSE) / VLOOKUP("buildings|NOx|Respiratory hospital admissions", US_national_yearly!$D:$AM, 10, FALSE), 1)</f>
        <v>8.1758316292841702E-6</v>
      </c>
      <c r="AB12" s="7">
        <f>$B12 * IFERROR(VLOOKUP("buildings|NOx|Respiratory hospital admissions", US_national_yearly!$D:$AM, 36, FALSE) / VLOOKUP("buildings|NOx|Respiratory hospital admissions", US_national_yearly!$D:$AM, 10, FALSE), 1)</f>
        <v>8.205471366270213E-6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8.8894507234356852E-6</v>
      </c>
      <c r="C13" s="7">
        <f>$B13 * IFERROR(VLOOKUP("buildings|NOx|Non-fatal heart attacks", US_national_yearly!$D:$AM, 11, FALSE) / VLOOKUP("buildings|NOx|Non-fatal heart attacks", US_national_yearly!$D:$AM, 10, FALSE), 1)</f>
        <v>9.1437597842607009E-6</v>
      </c>
      <c r="D13" s="7">
        <f>$B13 * IFERROR(VLOOKUP("buildings|NOx|Non-fatal heart attacks", US_national_yearly!$D:$AM, 12, FALSE) / VLOOKUP("buildings|NOx|Non-fatal heart attacks", US_national_yearly!$D:$AM, 10, FALSE), 1)</f>
        <v>9.39806884508572E-6</v>
      </c>
      <c r="E13" s="7">
        <f>$B13 * IFERROR(VLOOKUP("buildings|NOx|Non-fatal heart attacks", US_national_yearly!$D:$AM, 13, FALSE) / VLOOKUP("buildings|NOx|Non-fatal heart attacks", US_national_yearly!$D:$AM, 10, FALSE), 1)</f>
        <v>9.652377905910734E-6</v>
      </c>
      <c r="F13" s="7">
        <f>$B13 * IFERROR(VLOOKUP("buildings|NOx|Non-fatal heart attacks", US_national_yearly!$D:$AM, 14, FALSE) / VLOOKUP("buildings|NOx|Non-fatal heart attacks", US_national_yearly!$D:$AM, 10, FALSE), 1)</f>
        <v>9.9066869667357496E-6</v>
      </c>
      <c r="G13" s="7">
        <f>$B13 * IFERROR(VLOOKUP("buildings|NOx|Non-fatal heart attacks", US_national_yearly!$D:$AM, 15, FALSE) / VLOOKUP("buildings|NOx|Non-fatal heart attacks", US_national_yearly!$D:$AM, 10, FALSE), 1)</f>
        <v>1.0144388790535753E-5</v>
      </c>
      <c r="H13" s="7">
        <f>$B13 * IFERROR(VLOOKUP("buildings|NOx|Non-fatal heart attacks", US_national_yearly!$D:$AM, 16, FALSE) / VLOOKUP("buildings|NOx|Non-fatal heart attacks", US_national_yearly!$D:$AM, 10, FALSE), 1)</f>
        <v>1.0382090614335757E-5</v>
      </c>
      <c r="I13" s="7">
        <f>$B13 * IFERROR(VLOOKUP("buildings|NOx|Non-fatal heart attacks", US_national_yearly!$D:$AM, 17, FALSE) / VLOOKUP("buildings|NOx|Non-fatal heart attacks", US_national_yearly!$D:$AM, 10, FALSE), 1)</f>
        <v>1.0569620266225456E-5</v>
      </c>
      <c r="J13" s="7">
        <f>$B13 * IFERROR(VLOOKUP("buildings|NOx|Non-fatal heart attacks", US_national_yearly!$D:$AM, 18, FALSE) / VLOOKUP("buildings|NOx|Non-fatal heart attacks", US_national_yearly!$D:$AM, 10, FALSE), 1)</f>
        <v>1.0757149918115157E-5</v>
      </c>
      <c r="K13" s="7">
        <f>$B13 * IFERROR(VLOOKUP("buildings|NOx|Non-fatal heart attacks", US_national_yearly!$D:$AM, 19, FALSE) / VLOOKUP("buildings|NOx|Non-fatal heart attacks", US_national_yearly!$D:$AM, 10, FALSE), 1)</f>
        <v>1.0944679570004862E-5</v>
      </c>
      <c r="L13" s="7">
        <f>$B13 * IFERROR(VLOOKUP("buildings|NOx|Non-fatal heart attacks", US_national_yearly!$D:$AM, 20, FALSE) / VLOOKUP("buildings|NOx|Non-fatal heart attacks", US_national_yearly!$D:$AM, 10, FALSE), 1)</f>
        <v>1.1132209221894556E-5</v>
      </c>
      <c r="M13" s="7">
        <f>$B13 * IFERROR(VLOOKUP("buildings|NOx|Non-fatal heart attacks", US_national_yearly!$D:$AM, 21, FALSE) / VLOOKUP("buildings|NOx|Non-fatal heart attacks", US_national_yearly!$D:$AM, 10, FALSE), 1)</f>
        <v>1.1319738873784259E-5</v>
      </c>
      <c r="N13" s="7">
        <f>$B13 * IFERROR(VLOOKUP("buildings|NOx|Non-fatal heart attacks", US_national_yearly!$D:$AM, 22, FALSE) / VLOOKUP("buildings|NOx|Non-fatal heart attacks", US_national_yearly!$D:$AM, 10, FALSE), 1)</f>
        <v>1.1432599903070819E-5</v>
      </c>
      <c r="O13" s="7">
        <f>$B13 * IFERROR(VLOOKUP("buildings|NOx|Non-fatal heart attacks", US_national_yearly!$D:$AM, 23, FALSE) / VLOOKUP("buildings|NOx|Non-fatal heart attacks", US_national_yearly!$D:$AM, 10, FALSE), 1)</f>
        <v>1.1545460932357377E-5</v>
      </c>
      <c r="P13" s="7">
        <f>$B13 * IFERROR(VLOOKUP("buildings|NOx|Non-fatal heart attacks", US_national_yearly!$D:$AM, 24, FALSE) / VLOOKUP("buildings|NOx|Non-fatal heart attacks", US_national_yearly!$D:$AM, 10, FALSE), 1)</f>
        <v>1.1658321961643938E-5</v>
      </c>
      <c r="Q13" s="7">
        <f>$B13 * IFERROR(VLOOKUP("buildings|NOx|Non-fatal heart attacks", US_national_yearly!$D:$AM, 25, FALSE) / VLOOKUP("buildings|NOx|Non-fatal heart attacks", US_national_yearly!$D:$AM, 10, FALSE), 1)</f>
        <v>1.1771182990930498E-5</v>
      </c>
      <c r="R13" s="7">
        <f>$B13 * IFERROR(VLOOKUP("buildings|NOx|Non-fatal heart attacks", US_national_yearly!$D:$AM, 26, FALSE) / VLOOKUP("buildings|NOx|Non-fatal heart attacks", US_national_yearly!$D:$AM, 10, FALSE), 1)</f>
        <v>1.1884044020217056E-5</v>
      </c>
      <c r="S13" s="7">
        <f>$B13 * IFERROR(VLOOKUP("buildings|NOx|Non-fatal heart attacks", US_national_yearly!$D:$AM, 27, FALSE) / VLOOKUP("buildings|NOx|Non-fatal heart attacks", US_national_yearly!$D:$AM, 10, FALSE), 1)</f>
        <v>1.1935332499480467E-5</v>
      </c>
      <c r="T13" s="7">
        <f>$B13 * IFERROR(VLOOKUP("buildings|NOx|Non-fatal heart attacks", US_national_yearly!$D:$AM, 28, FALSE) / VLOOKUP("buildings|NOx|Non-fatal heart attacks", US_national_yearly!$D:$AM, 10, FALSE), 1)</f>
        <v>1.1986620978743881E-5</v>
      </c>
      <c r="U13" s="7">
        <f>$B13 * IFERROR(VLOOKUP("buildings|NOx|Non-fatal heart attacks", US_national_yearly!$D:$AM, 29, FALSE) / VLOOKUP("buildings|NOx|Non-fatal heart attacks", US_national_yearly!$D:$AM, 10, FALSE), 1)</f>
        <v>1.2037909458007291E-5</v>
      </c>
      <c r="V13" s="7">
        <f>$B13 * IFERROR(VLOOKUP("buildings|NOx|Non-fatal heart attacks", US_national_yearly!$D:$AM, 30, FALSE) / VLOOKUP("buildings|NOx|Non-fatal heart attacks", US_national_yearly!$D:$AM, 10, FALSE), 1)</f>
        <v>1.2089197937270702E-5</v>
      </c>
      <c r="W13" s="7">
        <f>$B13 * IFERROR(VLOOKUP("buildings|NOx|Non-fatal heart attacks", US_national_yearly!$D:$AM, 31, FALSE) / VLOOKUP("buildings|NOx|Non-fatal heart attacks", US_national_yearly!$D:$AM, 10, FALSE), 1)</f>
        <v>1.2140486416534115E-5</v>
      </c>
      <c r="X13" s="7">
        <f>$B13 * IFERROR(VLOOKUP("buildings|NOx|Non-fatal heart attacks", US_national_yearly!$D:$AM, 32, FALSE) / VLOOKUP("buildings|NOx|Non-fatal heart attacks", US_national_yearly!$D:$AM, 10, FALSE), 1)</f>
        <v>1.2174794232663604E-5</v>
      </c>
      <c r="Y13" s="7">
        <f>$B13 * IFERROR(VLOOKUP("buildings|NOx|Non-fatal heart attacks", US_national_yearly!$D:$AM, 33, FALSE) / VLOOKUP("buildings|NOx|Non-fatal heart attacks", US_national_yearly!$D:$AM, 10, FALSE), 1)</f>
        <v>1.2209102048793093E-5</v>
      </c>
      <c r="Z13" s="7">
        <f>$B13 * IFERROR(VLOOKUP("buildings|NOx|Non-fatal heart attacks", US_national_yearly!$D:$AM, 34, FALSE) / VLOOKUP("buildings|NOx|Non-fatal heart attacks", US_national_yearly!$D:$AM, 10, FALSE), 1)</f>
        <v>1.2243409864922583E-5</v>
      </c>
      <c r="AA13" s="7">
        <f>$B13 * IFERROR(VLOOKUP("buildings|NOx|Non-fatal heart attacks", US_national_yearly!$D:$AM, 35, FALSE) / VLOOKUP("buildings|NOx|Non-fatal heart attacks", US_national_yearly!$D:$AM, 10, FALSE), 1)</f>
        <v>1.2277717681052072E-5</v>
      </c>
      <c r="AB13" s="7">
        <f>$B13 * IFERROR(VLOOKUP("buildings|NOx|Non-fatal heart attacks", US_national_yearly!$D:$AM, 36, FALSE) / VLOOKUP("buildings|NOx|Non-fatal heart attacks", US_national_yearly!$D:$AM, 10, FALSE), 1)</f>
        <v>1.231202549718156E-5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3.7525167268960297E-2</v>
      </c>
      <c r="C14" s="7">
        <f>$B14 * IFERROR(VLOOKUP("buildings|NOx|Minor restricted activity days", US_national_yearly!$D:$AM, 11, FALSE) / VLOOKUP("buildings|NOx|Minor restricted activity days", US_national_yearly!$D:$AM, 10, FALSE), 1)</f>
        <v>3.758339745412579E-2</v>
      </c>
      <c r="D14" s="7">
        <f>$B14 * IFERROR(VLOOKUP("buildings|NOx|Minor restricted activity days", US_national_yearly!$D:$AM, 12, FALSE) / VLOOKUP("buildings|NOx|Minor restricted activity days", US_national_yearly!$D:$AM, 10, FALSE), 1)</f>
        <v>3.7641627639291277E-2</v>
      </c>
      <c r="E14" s="7">
        <f>$B14 * IFERROR(VLOOKUP("buildings|NOx|Minor restricted activity days", US_national_yearly!$D:$AM, 13, FALSE) / VLOOKUP("buildings|NOx|Minor restricted activity days", US_national_yearly!$D:$AM, 10, FALSE), 1)</f>
        <v>3.769985782445677E-2</v>
      </c>
      <c r="F14" s="7">
        <f>$B14 * IFERROR(VLOOKUP("buildings|NOx|Minor restricted activity days", US_national_yearly!$D:$AM, 14, FALSE) / VLOOKUP("buildings|NOx|Minor restricted activity days", US_national_yearly!$D:$AM, 10, FALSE), 1)</f>
        <v>3.7758088009622257E-2</v>
      </c>
      <c r="G14" s="7">
        <f>$B14 * IFERROR(VLOOKUP("buildings|NOx|Minor restricted activity days", US_national_yearly!$D:$AM, 15, FALSE) / VLOOKUP("buildings|NOx|Minor restricted activity days", US_national_yearly!$D:$AM, 10, FALSE), 1)</f>
        <v>3.7862698638319932E-2</v>
      </c>
      <c r="H14" s="7">
        <f>$B14 * IFERROR(VLOOKUP("buildings|NOx|Minor restricted activity days", US_national_yearly!$D:$AM, 16, FALSE) / VLOOKUP("buildings|NOx|Minor restricted activity days", US_national_yearly!$D:$AM, 10, FALSE), 1)</f>
        <v>3.7967309267017607E-2</v>
      </c>
      <c r="I14" s="7">
        <f>$B14 * IFERROR(VLOOKUP("buildings|NOx|Minor restricted activity days", US_national_yearly!$D:$AM, 17, FALSE) / VLOOKUP("buildings|NOx|Minor restricted activity days", US_national_yearly!$D:$AM, 10, FALSE), 1)</f>
        <v>3.8171270147415053E-2</v>
      </c>
      <c r="J14" s="7">
        <f>$B14 * IFERROR(VLOOKUP("buildings|NOx|Minor restricted activity days", US_national_yearly!$D:$AM, 18, FALSE) / VLOOKUP("buildings|NOx|Minor restricted activity days", US_national_yearly!$D:$AM, 10, FALSE), 1)</f>
        <v>3.8375231027812491E-2</v>
      </c>
      <c r="K14" s="7">
        <f>$B14 * IFERROR(VLOOKUP("buildings|NOx|Minor restricted activity days", US_national_yearly!$D:$AM, 19, FALSE) / VLOOKUP("buildings|NOx|Minor restricted activity days", US_national_yearly!$D:$AM, 10, FALSE), 1)</f>
        <v>3.8579191908209937E-2</v>
      </c>
      <c r="L14" s="7">
        <f>$B14 * IFERROR(VLOOKUP("buildings|NOx|Minor restricted activity days", US_national_yearly!$D:$AM, 20, FALSE) / VLOOKUP("buildings|NOx|Minor restricted activity days", US_national_yearly!$D:$AM, 10, FALSE), 1)</f>
        <v>3.8783152788607375E-2</v>
      </c>
      <c r="M14" s="7">
        <f>$B14 * IFERROR(VLOOKUP("buildings|NOx|Minor restricted activity days", US_national_yearly!$D:$AM, 21, FALSE) / VLOOKUP("buildings|NOx|Minor restricted activity days", US_national_yearly!$D:$AM, 10, FALSE), 1)</f>
        <v>3.8987113669004821E-2</v>
      </c>
      <c r="N14" s="7">
        <f>$B14 * IFERROR(VLOOKUP("buildings|NOx|Minor restricted activity days", US_national_yearly!$D:$AM, 22, FALSE) / VLOOKUP("buildings|NOx|Minor restricted activity days", US_national_yearly!$D:$AM, 10, FALSE), 1)</f>
        <v>3.9278901794328323E-2</v>
      </c>
      <c r="O14" s="7">
        <f>$B14 * IFERROR(VLOOKUP("buildings|NOx|Minor restricted activity days", US_national_yearly!$D:$AM, 23, FALSE) / VLOOKUP("buildings|NOx|Minor restricted activity days", US_national_yearly!$D:$AM, 10, FALSE), 1)</f>
        <v>3.9570689919651819E-2</v>
      </c>
      <c r="P14" s="7">
        <f>$B14 * IFERROR(VLOOKUP("buildings|NOx|Minor restricted activity days", US_national_yearly!$D:$AM, 24, FALSE) / VLOOKUP("buildings|NOx|Minor restricted activity days", US_national_yearly!$D:$AM, 10, FALSE), 1)</f>
        <v>3.9862478044975322E-2</v>
      </c>
      <c r="Q14" s="7">
        <f>$B14 * IFERROR(VLOOKUP("buildings|NOx|Minor restricted activity days", US_national_yearly!$D:$AM, 25, FALSE) / VLOOKUP("buildings|NOx|Minor restricted activity days", US_national_yearly!$D:$AM, 10, FALSE), 1)</f>
        <v>4.0154266170298818E-2</v>
      </c>
      <c r="R14" s="7">
        <f>$B14 * IFERROR(VLOOKUP("buildings|NOx|Minor restricted activity days", US_national_yearly!$D:$AM, 26, FALSE) / VLOOKUP("buildings|NOx|Minor restricted activity days", US_national_yearly!$D:$AM, 10, FALSE), 1)</f>
        <v>4.0446054295622313E-2</v>
      </c>
      <c r="S14" s="7">
        <f>$B14 * IFERROR(VLOOKUP("buildings|NOx|Minor restricted activity days", US_national_yearly!$D:$AM, 27, FALSE) / VLOOKUP("buildings|NOx|Minor restricted activity days", US_national_yearly!$D:$AM, 10, FALSE), 1)</f>
        <v>4.0737758423066962E-2</v>
      </c>
      <c r="T14" s="7">
        <f>$B14 * IFERROR(VLOOKUP("buildings|NOx|Minor restricted activity days", US_national_yearly!$D:$AM, 28, FALSE) / VLOOKUP("buildings|NOx|Minor restricted activity days", US_national_yearly!$D:$AM, 10, FALSE), 1)</f>
        <v>4.1029462550511618E-2</v>
      </c>
      <c r="U14" s="7">
        <f>$B14 * IFERROR(VLOOKUP("buildings|NOx|Minor restricted activity days", US_national_yearly!$D:$AM, 29, FALSE) / VLOOKUP("buildings|NOx|Minor restricted activity days", US_national_yearly!$D:$AM, 10, FALSE), 1)</f>
        <v>4.1321166677956281E-2</v>
      </c>
      <c r="V14" s="7">
        <f>$B14 * IFERROR(VLOOKUP("buildings|NOx|Minor restricted activity days", US_national_yearly!$D:$AM, 30, FALSE) / VLOOKUP("buildings|NOx|Minor restricted activity days", US_national_yearly!$D:$AM, 10, FALSE), 1)</f>
        <v>4.1612870805400937E-2</v>
      </c>
      <c r="W14" s="7">
        <f>$B14 * IFERROR(VLOOKUP("buildings|NOx|Minor restricted activity days", US_national_yearly!$D:$AM, 31, FALSE) / VLOOKUP("buildings|NOx|Minor restricted activity days", US_national_yearly!$D:$AM, 10, FALSE), 1)</f>
        <v>4.1904574932845585E-2</v>
      </c>
      <c r="X14" s="7">
        <f>$B14 * IFERROR(VLOOKUP("buildings|NOx|Minor restricted activity days", US_national_yearly!$D:$AM, 32, FALSE) / VLOOKUP("buildings|NOx|Minor restricted activity days", US_national_yearly!$D:$AM, 10, FALSE), 1)</f>
        <v>4.2151281095722234E-2</v>
      </c>
      <c r="Y14" s="7">
        <f>$B14 * IFERROR(VLOOKUP("buildings|NOx|Minor restricted activity days", US_national_yearly!$D:$AM, 33, FALSE) / VLOOKUP("buildings|NOx|Minor restricted activity days", US_national_yearly!$D:$AM, 10, FALSE), 1)</f>
        <v>4.2397987258598883E-2</v>
      </c>
      <c r="Z14" s="7">
        <f>$B14 * IFERROR(VLOOKUP("buildings|NOx|Minor restricted activity days", US_national_yearly!$D:$AM, 34, FALSE) / VLOOKUP("buildings|NOx|Minor restricted activity days", US_national_yearly!$D:$AM, 10, FALSE), 1)</f>
        <v>4.2644693421475525E-2</v>
      </c>
      <c r="AA14" s="7">
        <f>$B14 * IFERROR(VLOOKUP("buildings|NOx|Minor restricted activity days", US_national_yearly!$D:$AM, 35, FALSE) / VLOOKUP("buildings|NOx|Minor restricted activity days", US_national_yearly!$D:$AM, 10, FALSE), 1)</f>
        <v>4.2891399584352174E-2</v>
      </c>
      <c r="AB14" s="7">
        <f>$B14 * IFERROR(VLOOKUP("buildings|NOx|Minor restricted activity days", US_national_yearly!$D:$AM, 36, FALSE) / VLOOKUP("buildings|NOx|Minor restricted activity days", US_national_yearly!$D:$AM, 10, FALSE), 1)</f>
        <v>4.3138105747228823E-2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6.354831065485159E-3</v>
      </c>
      <c r="C15" s="7">
        <f>$B15 * IFERROR(VLOOKUP("buildings|NOx|Work loss days", US_national_yearly!$D:$AM, 11, FALSE) / VLOOKUP("buildings|NOx|Work loss days", US_national_yearly!$D:$AM, 10, FALSE), 1)</f>
        <v>6.3690769130941207E-3</v>
      </c>
      <c r="D15" s="7">
        <f>$B15 * IFERROR(VLOOKUP("buildings|NOx|Work loss days", US_national_yearly!$D:$AM, 12, FALSE) / VLOOKUP("buildings|NOx|Work loss days", US_national_yearly!$D:$AM, 10, FALSE), 1)</f>
        <v>6.3833227607030816E-3</v>
      </c>
      <c r="E15" s="7">
        <f>$B15 * IFERROR(VLOOKUP("buildings|NOx|Work loss days", US_national_yearly!$D:$AM, 13, FALSE) / VLOOKUP("buildings|NOx|Work loss days", US_national_yearly!$D:$AM, 10, FALSE), 1)</f>
        <v>6.3975686083120415E-3</v>
      </c>
      <c r="F15" s="7">
        <f>$B15 * IFERROR(VLOOKUP("buildings|NOx|Work loss days", US_national_yearly!$D:$AM, 14, FALSE) / VLOOKUP("buildings|NOx|Work loss days", US_national_yearly!$D:$AM, 10, FALSE), 1)</f>
        <v>6.4118144559210041E-3</v>
      </c>
      <c r="G15" s="7">
        <f>$B15 * IFERROR(VLOOKUP("buildings|NOx|Work loss days", US_national_yearly!$D:$AM, 15, FALSE) / VLOOKUP("buildings|NOx|Work loss days", US_national_yearly!$D:$AM, 10, FALSE), 1)</f>
        <v>6.4325651301379129E-3</v>
      </c>
      <c r="H15" s="7">
        <f>$B15 * IFERROR(VLOOKUP("buildings|NOx|Work loss days", US_national_yearly!$D:$AM, 16, FALSE) / VLOOKUP("buildings|NOx|Work loss days", US_national_yearly!$D:$AM, 10, FALSE), 1)</f>
        <v>6.4533158043548226E-3</v>
      </c>
      <c r="I15" s="7">
        <f>$B15 * IFERROR(VLOOKUP("buildings|NOx|Work loss days", US_national_yearly!$D:$AM, 17, FALSE) / VLOOKUP("buildings|NOx|Work loss days", US_national_yearly!$D:$AM, 10, FALSE), 1)</f>
        <v>6.4868758991901351E-3</v>
      </c>
      <c r="J15" s="7">
        <f>$B15 * IFERROR(VLOOKUP("buildings|NOx|Work loss days", US_national_yearly!$D:$AM, 18, FALSE) / VLOOKUP("buildings|NOx|Work loss days", US_national_yearly!$D:$AM, 10, FALSE), 1)</f>
        <v>6.5204359940254459E-3</v>
      </c>
      <c r="K15" s="7">
        <f>$B15 * IFERROR(VLOOKUP("buildings|NOx|Work loss days", US_national_yearly!$D:$AM, 19, FALSE) / VLOOKUP("buildings|NOx|Work loss days", US_national_yearly!$D:$AM, 10, FALSE), 1)</f>
        <v>6.5539960888607585E-3</v>
      </c>
      <c r="L15" s="7">
        <f>$B15 * IFERROR(VLOOKUP("buildings|NOx|Work loss days", US_national_yearly!$D:$AM, 20, FALSE) / VLOOKUP("buildings|NOx|Work loss days", US_national_yearly!$D:$AM, 10, FALSE), 1)</f>
        <v>6.587556183696071E-3</v>
      </c>
      <c r="M15" s="7">
        <f>$B15 * IFERROR(VLOOKUP("buildings|NOx|Work loss days", US_national_yearly!$D:$AM, 21, FALSE) / VLOOKUP("buildings|NOx|Work loss days", US_national_yearly!$D:$AM, 10, FALSE), 1)</f>
        <v>6.6211162785313827E-3</v>
      </c>
      <c r="N15" s="7">
        <f>$B15 * IFERROR(VLOOKUP("buildings|NOx|Work loss days", US_national_yearly!$D:$AM, 22, FALSE) / VLOOKUP("buildings|NOx|Work loss days", US_national_yearly!$D:$AM, 10, FALSE), 1)</f>
        <v>6.6647780172689576E-3</v>
      </c>
      <c r="O15" s="7">
        <f>$B15 * IFERROR(VLOOKUP("buildings|NOx|Work loss days", US_national_yearly!$D:$AM, 23, FALSE) / VLOOKUP("buildings|NOx|Work loss days", US_national_yearly!$D:$AM, 10, FALSE), 1)</f>
        <v>6.7084397560065326E-3</v>
      </c>
      <c r="P15" s="7">
        <f>$B15 * IFERROR(VLOOKUP("buildings|NOx|Work loss days", US_national_yearly!$D:$AM, 24, FALSE) / VLOOKUP("buildings|NOx|Work loss days", US_national_yearly!$D:$AM, 10, FALSE), 1)</f>
        <v>6.7521014947441085E-3</v>
      </c>
      <c r="Q15" s="7">
        <f>$B15 * IFERROR(VLOOKUP("buildings|NOx|Work loss days", US_national_yearly!$D:$AM, 25, FALSE) / VLOOKUP("buildings|NOx|Work loss days", US_national_yearly!$D:$AM, 10, FALSE), 1)</f>
        <v>6.7957632334816852E-3</v>
      </c>
      <c r="R15" s="7">
        <f>$B15 * IFERROR(VLOOKUP("buildings|NOx|Work loss days", US_national_yearly!$D:$AM, 26, FALSE) / VLOOKUP("buildings|NOx|Work loss days", US_national_yearly!$D:$AM, 10, FALSE), 1)</f>
        <v>6.8394249722192602E-3</v>
      </c>
      <c r="S15" s="7">
        <f>$B15 * IFERROR(VLOOKUP("buildings|NOx|Work loss days", US_national_yearly!$D:$AM, 27, FALSE) / VLOOKUP("buildings|NOx|Work loss days", US_national_yearly!$D:$AM, 10, FALSE), 1)</f>
        <v>6.8880783283804415E-3</v>
      </c>
      <c r="T15" s="7">
        <f>$B15 * IFERROR(VLOOKUP("buildings|NOx|Work loss days", US_national_yearly!$D:$AM, 28, FALSE) / VLOOKUP("buildings|NOx|Work loss days", US_national_yearly!$D:$AM, 10, FALSE), 1)</f>
        <v>6.9367316845416237E-3</v>
      </c>
      <c r="U15" s="7">
        <f>$B15 * IFERROR(VLOOKUP("buildings|NOx|Work loss days", US_national_yearly!$D:$AM, 29, FALSE) / VLOOKUP("buildings|NOx|Work loss days", US_national_yearly!$D:$AM, 10, FALSE), 1)</f>
        <v>6.9853850407028042E-3</v>
      </c>
      <c r="V15" s="7">
        <f>$B15 * IFERROR(VLOOKUP("buildings|NOx|Work loss days", US_national_yearly!$D:$AM, 30, FALSE) / VLOOKUP("buildings|NOx|Work loss days", US_national_yearly!$D:$AM, 10, FALSE), 1)</f>
        <v>7.0340383968639855E-3</v>
      </c>
      <c r="W15" s="7">
        <f>$B15 * IFERROR(VLOOKUP("buildings|NOx|Work loss days", US_national_yearly!$D:$AM, 31, FALSE) / VLOOKUP("buildings|NOx|Work loss days", US_national_yearly!$D:$AM, 10, FALSE), 1)</f>
        <v>7.082691753025166E-3</v>
      </c>
      <c r="X15" s="7">
        <f>$B15 * IFERROR(VLOOKUP("buildings|NOx|Work loss days", US_national_yearly!$D:$AM, 32, FALSE) / VLOOKUP("buildings|NOx|Work loss days", US_national_yearly!$D:$AM, 10, FALSE), 1)</f>
        <v>7.1249330316704336E-3</v>
      </c>
      <c r="Y15" s="7">
        <f>$B15 * IFERROR(VLOOKUP("buildings|NOx|Work loss days", US_national_yearly!$D:$AM, 33, FALSE) / VLOOKUP("buildings|NOx|Work loss days", US_national_yearly!$D:$AM, 10, FALSE), 1)</f>
        <v>7.1671743103157012E-3</v>
      </c>
      <c r="Z15" s="7">
        <f>$B15 * IFERROR(VLOOKUP("buildings|NOx|Work loss days", US_national_yearly!$D:$AM, 34, FALSE) / VLOOKUP("buildings|NOx|Work loss days", US_national_yearly!$D:$AM, 10, FALSE), 1)</f>
        <v>7.2094155889609688E-3</v>
      </c>
      <c r="AA15" s="7">
        <f>$B15 * IFERROR(VLOOKUP("buildings|NOx|Work loss days", US_national_yearly!$D:$AM, 35, FALSE) / VLOOKUP("buildings|NOx|Work loss days", US_national_yearly!$D:$AM, 10, FALSE), 1)</f>
        <v>7.2516568676062364E-3</v>
      </c>
      <c r="AB15" s="7">
        <f>$B15 * IFERROR(VLOOKUP("buildings|NOx|Work loss days", US_national_yearly!$D:$AM, 36, FALSE) / VLOOKUP("buildings|NOx|Work loss days", US_national_yearly!$D:$AM, 10, FALSE), 1)</f>
        <v>7.293898146251504E-3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1.0259456999327782E-5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1.0561085946755222E-5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1.0862714894182665E-5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1.1164343841610107E-5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1.1465972789037547E-5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1.1752514803187122E-5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1.2039056817336696E-5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1.228015363189917E-5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1.2521250446461644E-5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1.2762347261024116E-5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1.3003444075586588E-5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1.3244540890149058E-5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1.3395355183344304E-5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1.3546169476539545E-5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1.3696983769734787E-5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1.3847798062930029E-5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1.399861235612527E-5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1.4067523697798673E-5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1.4136435039472072E-5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1.4205346381145475E-5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1.4274257722818876E-5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1.4343169064492279E-5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1.4381579550554826E-5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1.4419990036617377E-5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1.4458400522679924E-5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1.4496811008742473E-5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1.453522149480502E-5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3.4206536400768767E-4</v>
      </c>
      <c r="C2" s="7">
        <f>$B2 * IFERROR(VLOOKUP("buildings|SO2|Premature mortality", US_national_yearly!$D:$AM, 11, FALSE) / VLOOKUP("buildings|SO2|Premature mortality", US_national_yearly!$D:$AM, 10, FALSE), 1)</f>
        <v>3.4639878891327568E-4</v>
      </c>
      <c r="D2" s="7">
        <f>$B2 * IFERROR(VLOOKUP("buildings|SO2|Premature mortality", US_national_yearly!$D:$AM, 12, FALSE) / VLOOKUP("buildings|SO2|Premature mortality", US_national_yearly!$D:$AM, 10, FALSE), 1)</f>
        <v>3.5073221381886363E-4</v>
      </c>
      <c r="E2" s="7">
        <f>$B2 * IFERROR(VLOOKUP("buildings|SO2|Premature mortality", US_national_yearly!$D:$AM, 13, FALSE) / VLOOKUP("buildings|SO2|Premature mortality", US_national_yearly!$D:$AM, 10, FALSE), 1)</f>
        <v>3.550656387244517E-4</v>
      </c>
      <c r="F2" s="7">
        <f>$B2 * IFERROR(VLOOKUP("buildings|SO2|Premature mortality", US_national_yearly!$D:$AM, 14, FALSE) / VLOOKUP("buildings|SO2|Premature mortality", US_national_yearly!$D:$AM, 10, FALSE), 1)</f>
        <v>3.5939906363003971E-4</v>
      </c>
      <c r="G2" s="7">
        <f>$B2 * IFERROR(VLOOKUP("buildings|SO2|Premature mortality", US_national_yearly!$D:$AM, 15, FALSE) / VLOOKUP("buildings|SO2|Premature mortality", US_national_yearly!$D:$AM, 10, FALSE), 1)</f>
        <v>3.6774869414020342E-4</v>
      </c>
      <c r="H2" s="7">
        <f>$B2 * IFERROR(VLOOKUP("buildings|SO2|Premature mortality", US_national_yearly!$D:$AM, 16, FALSE) / VLOOKUP("buildings|SO2|Premature mortality", US_national_yearly!$D:$AM, 10, FALSE), 1)</f>
        <v>3.7609832465036719E-4</v>
      </c>
      <c r="I2" s="7">
        <f>$B2 * IFERROR(VLOOKUP("buildings|SO2|Premature mortality", US_national_yearly!$D:$AM, 17, FALSE) / VLOOKUP("buildings|SO2|Premature mortality", US_national_yearly!$D:$AM, 10, FALSE), 1)</f>
        <v>3.8161905238480443E-4</v>
      </c>
      <c r="J2" s="7">
        <f>$B2 * IFERROR(VLOOKUP("buildings|SO2|Premature mortality", US_national_yearly!$D:$AM, 18, FALSE) / VLOOKUP("buildings|SO2|Premature mortality", US_national_yearly!$D:$AM, 10, FALSE), 1)</f>
        <v>3.8713978011924166E-4</v>
      </c>
      <c r="K2" s="7">
        <f>$B2 * IFERROR(VLOOKUP("buildings|SO2|Premature mortality", US_national_yearly!$D:$AM, 19, FALSE) / VLOOKUP("buildings|SO2|Premature mortality", US_national_yearly!$D:$AM, 10, FALSE), 1)</f>
        <v>3.9266050785367895E-4</v>
      </c>
      <c r="L2" s="7">
        <f>$B2 * IFERROR(VLOOKUP("buildings|SO2|Premature mortality", US_national_yearly!$D:$AM, 20, FALSE) / VLOOKUP("buildings|SO2|Premature mortality", US_national_yearly!$D:$AM, 10, FALSE), 1)</f>
        <v>3.9818123558811613E-4</v>
      </c>
      <c r="M2" s="7">
        <f>$B2 * IFERROR(VLOOKUP("buildings|SO2|Premature mortality", US_national_yearly!$D:$AM, 21, FALSE) / VLOOKUP("buildings|SO2|Premature mortality", US_national_yearly!$D:$AM, 10, FALSE), 1)</f>
        <v>4.0370196332255342E-4</v>
      </c>
      <c r="N2" s="7">
        <f>$B2 * IFERROR(VLOOKUP("buildings|SO2|Premature mortality", US_national_yearly!$D:$AM, 22, FALSE) / VLOOKUP("buildings|SO2|Premature mortality", US_national_yearly!$D:$AM, 10, FALSE), 1)</f>
        <v>4.0801456190914172E-4</v>
      </c>
      <c r="O2" s="7">
        <f>$B2 * IFERROR(VLOOKUP("buildings|SO2|Premature mortality", US_national_yearly!$D:$AM, 23, FALSE) / VLOOKUP("buildings|SO2|Premature mortality", US_national_yearly!$D:$AM, 10, FALSE), 1)</f>
        <v>4.1232716049572975E-4</v>
      </c>
      <c r="P2" s="7">
        <f>$B2 * IFERROR(VLOOKUP("buildings|SO2|Premature mortality", US_national_yearly!$D:$AM, 24, FALSE) / VLOOKUP("buildings|SO2|Premature mortality", US_national_yearly!$D:$AM, 10, FALSE), 1)</f>
        <v>4.1663975908231795E-4</v>
      </c>
      <c r="Q2" s="7">
        <f>$B2 * IFERROR(VLOOKUP("buildings|SO2|Premature mortality", US_national_yearly!$D:$AM, 25, FALSE) / VLOOKUP("buildings|SO2|Premature mortality", US_national_yearly!$D:$AM, 10, FALSE), 1)</f>
        <v>4.2095235766890609E-4</v>
      </c>
      <c r="R2" s="7">
        <f>$B2 * IFERROR(VLOOKUP("buildings|SO2|Premature mortality", US_national_yearly!$D:$AM, 26, FALSE) / VLOOKUP("buildings|SO2|Premature mortality", US_national_yearly!$D:$AM, 10, FALSE), 1)</f>
        <v>4.2526495625549429E-4</v>
      </c>
      <c r="S2" s="7">
        <f>$B2 * IFERROR(VLOOKUP("buildings|SO2|Premature mortality", US_national_yearly!$D:$AM, 27, FALSE) / VLOOKUP("buildings|SO2|Premature mortality", US_national_yearly!$D:$AM, 10, FALSE), 1)</f>
        <v>4.2757310824623266E-4</v>
      </c>
      <c r="T2" s="7">
        <f>$B2 * IFERROR(VLOOKUP("buildings|SO2|Premature mortality", US_national_yearly!$D:$AM, 28, FALSE) / VLOOKUP("buildings|SO2|Premature mortality", US_national_yearly!$D:$AM, 10, FALSE), 1)</f>
        <v>4.2988126023697104E-4</v>
      </c>
      <c r="U2" s="7">
        <f>$B2 * IFERROR(VLOOKUP("buildings|SO2|Premature mortality", US_national_yearly!$D:$AM, 29, FALSE) / VLOOKUP("buildings|SO2|Premature mortality", US_national_yearly!$D:$AM, 10, FALSE), 1)</f>
        <v>4.3218941222770941E-4</v>
      </c>
      <c r="V2" s="7">
        <f>$B2 * IFERROR(VLOOKUP("buildings|SO2|Premature mortality", US_national_yearly!$D:$AM, 30, FALSE) / VLOOKUP("buildings|SO2|Premature mortality", US_national_yearly!$D:$AM, 10, FALSE), 1)</f>
        <v>4.3449756421844778E-4</v>
      </c>
      <c r="W2" s="7">
        <f>$B2 * IFERROR(VLOOKUP("buildings|SO2|Premature mortality", US_national_yearly!$D:$AM, 31, FALSE) / VLOOKUP("buildings|SO2|Premature mortality", US_national_yearly!$D:$AM, 10, FALSE), 1)</f>
        <v>4.3680571620918616E-4</v>
      </c>
      <c r="X2" s="7">
        <f>$B2 * IFERROR(VLOOKUP("buildings|SO2|Premature mortality", US_national_yearly!$D:$AM, 32, FALSE) / VLOOKUP("buildings|SO2|Premature mortality", US_national_yearly!$D:$AM, 10, FALSE), 1)</f>
        <v>4.3727211283977767E-4</v>
      </c>
      <c r="Y2" s="7">
        <f>$B2 * IFERROR(VLOOKUP("buildings|SO2|Premature mortality", US_national_yearly!$D:$AM, 33, FALSE) / VLOOKUP("buildings|SO2|Premature mortality", US_national_yearly!$D:$AM, 10, FALSE), 1)</f>
        <v>4.3773850947036917E-4</v>
      </c>
      <c r="Z2" s="7">
        <f>$B2 * IFERROR(VLOOKUP("buildings|SO2|Premature mortality", US_national_yearly!$D:$AM, 34, FALSE) / VLOOKUP("buildings|SO2|Premature mortality", US_national_yearly!$D:$AM, 10, FALSE), 1)</f>
        <v>4.3820490610096063E-4</v>
      </c>
      <c r="AA2" s="7">
        <f>$B2 * IFERROR(VLOOKUP("buildings|SO2|Premature mortality", US_national_yearly!$D:$AM, 35, FALSE) / VLOOKUP("buildings|SO2|Premature mortality", US_national_yearly!$D:$AM, 10, FALSE), 1)</f>
        <v>4.3867130273155214E-4</v>
      </c>
      <c r="AB2" s="7">
        <f>$B2 * IFERROR(VLOOKUP("buildings|SO2|Premature mortality", US_national_yearly!$D:$AM, 36, FALSE) / VLOOKUP("buildings|SO2|Premature mortality", US_national_yearly!$D:$AM, 10, FALSE), 1)</f>
        <v>4.3913769936214364E-4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6.5798116566060805E-7</v>
      </c>
      <c r="C3" s="7">
        <f>$B3 * IFERROR(VLOOKUP("buildings|SO2|Infant mortality", US_national_yearly!$D:$AM, 11, FALSE) / VLOOKUP("buildings|SO2|Infant mortality", US_national_yearly!$D:$AM, 10, FALSE), 1)</f>
        <v>6.5234134115741411E-7</v>
      </c>
      <c r="D3" s="7">
        <f>$B3 * IFERROR(VLOOKUP("buildings|SO2|Infant mortality", US_national_yearly!$D:$AM, 12, FALSE) / VLOOKUP("buildings|SO2|Infant mortality", US_national_yearly!$D:$AM, 10, FALSE), 1)</f>
        <v>6.4670151665422017E-7</v>
      </c>
      <c r="E3" s="7">
        <f>$B3 * IFERROR(VLOOKUP("buildings|SO2|Infant mortality", US_national_yearly!$D:$AM, 13, FALSE) / VLOOKUP("buildings|SO2|Infant mortality", US_national_yearly!$D:$AM, 10, FALSE), 1)</f>
        <v>6.4106169215102623E-7</v>
      </c>
      <c r="F3" s="7">
        <f>$B3 * IFERROR(VLOOKUP("buildings|SO2|Infant mortality", US_national_yearly!$D:$AM, 14, FALSE) / VLOOKUP("buildings|SO2|Infant mortality", US_national_yearly!$D:$AM, 10, FALSE), 1)</f>
        <v>6.354218676478324E-7</v>
      </c>
      <c r="G3" s="7">
        <f>$B3 * IFERROR(VLOOKUP("buildings|SO2|Infant mortality", US_national_yearly!$D:$AM, 15, FALSE) / VLOOKUP("buildings|SO2|Infant mortality", US_national_yearly!$D:$AM, 10, FALSE), 1)</f>
        <v>4.231657905083838E-7</v>
      </c>
      <c r="H3" s="7">
        <f>$B3 * IFERROR(VLOOKUP("buildings|SO2|Infant mortality", US_national_yearly!$D:$AM, 16, FALSE) / VLOOKUP("buildings|SO2|Infant mortality", US_national_yearly!$D:$AM, 10, FALSE), 1)</f>
        <v>2.109097133689353E-7</v>
      </c>
      <c r="I3" s="7">
        <f>$B3 * IFERROR(VLOOKUP("buildings|SO2|Infant mortality", US_national_yearly!$D:$AM, 17, FALSE) / VLOOKUP("buildings|SO2|Infant mortality", US_national_yearly!$D:$AM, 10, FALSE), 1)</f>
        <v>2.095864425365064E-7</v>
      </c>
      <c r="J3" s="7">
        <f>$B3 * IFERROR(VLOOKUP("buildings|SO2|Infant mortality", US_national_yearly!$D:$AM, 18, FALSE) / VLOOKUP("buildings|SO2|Infant mortality", US_national_yearly!$D:$AM, 10, FALSE), 1)</f>
        <v>2.0826317170407748E-7</v>
      </c>
      <c r="K3" s="7">
        <f>$B3 * IFERROR(VLOOKUP("buildings|SO2|Infant mortality", US_national_yearly!$D:$AM, 19, FALSE) / VLOOKUP("buildings|SO2|Infant mortality", US_national_yearly!$D:$AM, 10, FALSE), 1)</f>
        <v>2.0693990087164858E-7</v>
      </c>
      <c r="L3" s="7">
        <f>$B3 * IFERROR(VLOOKUP("buildings|SO2|Infant mortality", US_national_yearly!$D:$AM, 20, FALSE) / VLOOKUP("buildings|SO2|Infant mortality", US_national_yearly!$D:$AM, 10, FALSE), 1)</f>
        <v>2.0561663003921963E-7</v>
      </c>
      <c r="M3" s="7">
        <f>$B3 * IFERROR(VLOOKUP("buildings|SO2|Infant mortality", US_national_yearly!$D:$AM, 21, FALSE) / VLOOKUP("buildings|SO2|Infant mortality", US_national_yearly!$D:$AM, 10, FALSE), 1)</f>
        <v>2.0429335920679073E-7</v>
      </c>
      <c r="N3" s="7">
        <f>$B3 * IFERROR(VLOOKUP("buildings|SO2|Infant mortality", US_national_yearly!$D:$AM, 22, FALSE) / VLOOKUP("buildings|SO2|Infant mortality", US_national_yearly!$D:$AM, 10, FALSE), 1)</f>
        <v>2.0346380896859636E-7</v>
      </c>
      <c r="O3" s="7">
        <f>$B3 * IFERROR(VLOOKUP("buildings|SO2|Infant mortality", US_national_yearly!$D:$AM, 23, FALSE) / VLOOKUP("buildings|SO2|Infant mortality", US_national_yearly!$D:$AM, 10, FALSE), 1)</f>
        <v>2.0263425873040199E-7</v>
      </c>
      <c r="P3" s="7">
        <f>$B3 * IFERROR(VLOOKUP("buildings|SO2|Infant mortality", US_national_yearly!$D:$AM, 24, FALSE) / VLOOKUP("buildings|SO2|Infant mortality", US_national_yearly!$D:$AM, 10, FALSE), 1)</f>
        <v>2.0180470849220762E-7</v>
      </c>
      <c r="Q3" s="7">
        <f>$B3 * IFERROR(VLOOKUP("buildings|SO2|Infant mortality", US_national_yearly!$D:$AM, 25, FALSE) / VLOOKUP("buildings|SO2|Infant mortality", US_national_yearly!$D:$AM, 10, FALSE), 1)</f>
        <v>2.0097515825401322E-7</v>
      </c>
      <c r="R3" s="7">
        <f>$B3 * IFERROR(VLOOKUP("buildings|SO2|Infant mortality", US_national_yearly!$D:$AM, 26, FALSE) / VLOOKUP("buildings|SO2|Infant mortality", US_national_yearly!$D:$AM, 10, FALSE), 1)</f>
        <v>2.0014560801581885E-7</v>
      </c>
      <c r="S3" s="7">
        <f>$B3 * IFERROR(VLOOKUP("buildings|SO2|Infant mortality", US_national_yearly!$D:$AM, 27, FALSE) / VLOOKUP("buildings|SO2|Infant mortality", US_national_yearly!$D:$AM, 10, FALSE), 1)</f>
        <v>1.9910395590978644E-7</v>
      </c>
      <c r="T3" s="7">
        <f>$B3 * IFERROR(VLOOKUP("buildings|SO2|Infant mortality", US_national_yearly!$D:$AM, 28, FALSE) / VLOOKUP("buildings|SO2|Infant mortality", US_national_yearly!$D:$AM, 10, FALSE), 1)</f>
        <v>1.9806230380375404E-7</v>
      </c>
      <c r="U3" s="7">
        <f>$B3 * IFERROR(VLOOKUP("buildings|SO2|Infant mortality", US_national_yearly!$D:$AM, 29, FALSE) / VLOOKUP("buildings|SO2|Infant mortality", US_national_yearly!$D:$AM, 10, FALSE), 1)</f>
        <v>1.9702065169772166E-7</v>
      </c>
      <c r="V3" s="7">
        <f>$B3 * IFERROR(VLOOKUP("buildings|SO2|Infant mortality", US_national_yearly!$D:$AM, 30, FALSE) / VLOOKUP("buildings|SO2|Infant mortality", US_national_yearly!$D:$AM, 10, FALSE), 1)</f>
        <v>1.9597899959168926E-7</v>
      </c>
      <c r="W3" s="7">
        <f>$B3 * IFERROR(VLOOKUP("buildings|SO2|Infant mortality", US_national_yearly!$D:$AM, 31, FALSE) / VLOOKUP("buildings|SO2|Infant mortality", US_national_yearly!$D:$AM, 10, FALSE), 1)</f>
        <v>1.9493734748565686E-7</v>
      </c>
      <c r="X3" s="7">
        <f>$B3 * IFERROR(VLOOKUP("buildings|SO2|Infant mortality", US_national_yearly!$D:$AM, 32, FALSE) / VLOOKUP("buildings|SO2|Infant mortality", US_national_yearly!$D:$AM, 10, FALSE), 1)</f>
        <v>1.9379969833444902E-7</v>
      </c>
      <c r="Y3" s="7">
        <f>$B3 * IFERROR(VLOOKUP("buildings|SO2|Infant mortality", US_national_yearly!$D:$AM, 33, FALSE) / VLOOKUP("buildings|SO2|Infant mortality", US_national_yearly!$D:$AM, 10, FALSE), 1)</f>
        <v>1.9266204918324115E-7</v>
      </c>
      <c r="Z3" s="7">
        <f>$B3 * IFERROR(VLOOKUP("buildings|SO2|Infant mortality", US_national_yearly!$D:$AM, 34, FALSE) / VLOOKUP("buildings|SO2|Infant mortality", US_national_yearly!$D:$AM, 10, FALSE), 1)</f>
        <v>1.9152440003203334E-7</v>
      </c>
      <c r="AA3" s="7">
        <f>$B3 * IFERROR(VLOOKUP("buildings|SO2|Infant mortality", US_national_yearly!$D:$AM, 35, FALSE) / VLOOKUP("buildings|SO2|Infant mortality", US_national_yearly!$D:$AM, 10, FALSE), 1)</f>
        <v>1.9038675088082547E-7</v>
      </c>
      <c r="AB3" s="7">
        <f>$B3 * IFERROR(VLOOKUP("buildings|SO2|Infant mortality", US_national_yearly!$D:$AM, 36, FALSE) / VLOOKUP("buildings|SO2|Infant mortality", US_national_yearly!$D:$AM, 10, FALSE), 1)</f>
        <v>1.8924910172961766E-7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7.5021452378025715E-4</v>
      </c>
      <c r="C6" s="7">
        <f>$B6 * IFERROR(VLOOKUP("buildings|SO2|Asthma symptoms cough", US_national_yearly!$D:$AM, 11, FALSE) / VLOOKUP("buildings|SO2|Asthma symptoms cough", US_national_yearly!$D:$AM, 10, FALSE), 1)</f>
        <v>7.5021452378025715E-4</v>
      </c>
      <c r="D6" s="7">
        <f>$B6 * IFERROR(VLOOKUP("buildings|SO2|Asthma symptoms cough", US_national_yearly!$D:$AM, 12, FALSE) / VLOOKUP("buildings|SO2|Asthma symptoms cough", US_national_yearly!$D:$AM, 10, FALSE), 1)</f>
        <v>7.5021452378025715E-4</v>
      </c>
      <c r="E6" s="7">
        <f>$B6 * IFERROR(VLOOKUP("buildings|SO2|Asthma symptoms cough", US_national_yearly!$D:$AM, 13, FALSE) / VLOOKUP("buildings|SO2|Asthma symptoms cough", US_national_yearly!$D:$AM, 10, FALSE), 1)</f>
        <v>7.5021452378025715E-4</v>
      </c>
      <c r="F6" s="7">
        <f>$B6 * IFERROR(VLOOKUP("buildings|SO2|Asthma symptoms cough", US_national_yearly!$D:$AM, 14, FALSE) / VLOOKUP("buildings|SO2|Asthma symptoms cough", US_national_yearly!$D:$AM, 10, FALSE), 1)</f>
        <v>7.5021452378025715E-4</v>
      </c>
      <c r="G6" s="7">
        <f>$B6 * IFERROR(VLOOKUP("buildings|SO2|Asthma symptoms cough", US_national_yearly!$D:$AM, 15, FALSE) / VLOOKUP("buildings|SO2|Asthma symptoms cough", US_national_yearly!$D:$AM, 10, FALSE), 1)</f>
        <v>7.5021452378025715E-4</v>
      </c>
      <c r="H6" s="7">
        <f>$B6 * IFERROR(VLOOKUP("buildings|SO2|Asthma symptoms cough", US_national_yearly!$D:$AM, 16, FALSE) / VLOOKUP("buildings|SO2|Asthma symptoms cough", US_national_yearly!$D:$AM, 10, FALSE), 1)</f>
        <v>7.5021452378025715E-4</v>
      </c>
      <c r="I6" s="7">
        <f>$B6 * IFERROR(VLOOKUP("buildings|SO2|Asthma symptoms cough", US_national_yearly!$D:$AM, 17, FALSE) / VLOOKUP("buildings|SO2|Asthma symptoms cough", US_national_yearly!$D:$AM, 10, FALSE), 1)</f>
        <v>7.5021452378025715E-4</v>
      </c>
      <c r="J6" s="7">
        <f>$B6 * IFERROR(VLOOKUP("buildings|SO2|Asthma symptoms cough", US_national_yearly!$D:$AM, 18, FALSE) / VLOOKUP("buildings|SO2|Asthma symptoms cough", US_national_yearly!$D:$AM, 10, FALSE), 1)</f>
        <v>7.5021452378025715E-4</v>
      </c>
      <c r="K6" s="7">
        <f>$B6 * IFERROR(VLOOKUP("buildings|SO2|Asthma symptoms cough", US_national_yearly!$D:$AM, 19, FALSE) / VLOOKUP("buildings|SO2|Asthma symptoms cough", US_national_yearly!$D:$AM, 10, FALSE), 1)</f>
        <v>7.5021452378025715E-4</v>
      </c>
      <c r="L6" s="7">
        <f>$B6 * IFERROR(VLOOKUP("buildings|SO2|Asthma symptoms cough", US_national_yearly!$D:$AM, 20, FALSE) / VLOOKUP("buildings|SO2|Asthma symptoms cough", US_national_yearly!$D:$AM, 10, FALSE), 1)</f>
        <v>7.5021452378025715E-4</v>
      </c>
      <c r="M6" s="7">
        <f>$B6 * IFERROR(VLOOKUP("buildings|SO2|Asthma symptoms cough", US_national_yearly!$D:$AM, 21, FALSE) / VLOOKUP("buildings|SO2|Asthma symptoms cough", US_national_yearly!$D:$AM, 10, FALSE), 1)</f>
        <v>7.5021452378025715E-4</v>
      </c>
      <c r="N6" s="7">
        <f>$B6 * IFERROR(VLOOKUP("buildings|SO2|Asthma symptoms cough", US_national_yearly!$D:$AM, 22, FALSE) / VLOOKUP("buildings|SO2|Asthma symptoms cough", US_national_yearly!$D:$AM, 10, FALSE), 1)</f>
        <v>7.5021452378025715E-4</v>
      </c>
      <c r="O6" s="7">
        <f>$B6 * IFERROR(VLOOKUP("buildings|SO2|Asthma symptoms cough", US_national_yearly!$D:$AM, 23, FALSE) / VLOOKUP("buildings|SO2|Asthma symptoms cough", US_national_yearly!$D:$AM, 10, FALSE), 1)</f>
        <v>7.5021452378025715E-4</v>
      </c>
      <c r="P6" s="7">
        <f>$B6 * IFERROR(VLOOKUP("buildings|SO2|Asthma symptoms cough", US_national_yearly!$D:$AM, 24, FALSE) / VLOOKUP("buildings|SO2|Asthma symptoms cough", US_national_yearly!$D:$AM, 10, FALSE), 1)</f>
        <v>7.5021452378025715E-4</v>
      </c>
      <c r="Q6" s="7">
        <f>$B6 * IFERROR(VLOOKUP("buildings|SO2|Asthma symptoms cough", US_national_yearly!$D:$AM, 25, FALSE) / VLOOKUP("buildings|SO2|Asthma symptoms cough", US_national_yearly!$D:$AM, 10, FALSE), 1)</f>
        <v>7.5021452378025715E-4</v>
      </c>
      <c r="R6" s="7">
        <f>$B6 * IFERROR(VLOOKUP("buildings|SO2|Asthma symptoms cough", US_national_yearly!$D:$AM, 26, FALSE) / VLOOKUP("buildings|SO2|Asthma symptoms cough", US_national_yearly!$D:$AM, 10, FALSE), 1)</f>
        <v>7.5021452378025715E-4</v>
      </c>
      <c r="S6" s="7">
        <f>$B6 * IFERROR(VLOOKUP("buildings|SO2|Asthma symptoms cough", US_national_yearly!$D:$AM, 27, FALSE) / VLOOKUP("buildings|SO2|Asthma symptoms cough", US_national_yearly!$D:$AM, 10, FALSE), 1)</f>
        <v>7.5021452378025715E-4</v>
      </c>
      <c r="T6" s="7">
        <f>$B6 * IFERROR(VLOOKUP("buildings|SO2|Asthma symptoms cough", US_national_yearly!$D:$AM, 28, FALSE) / VLOOKUP("buildings|SO2|Asthma symptoms cough", US_national_yearly!$D:$AM, 10, FALSE), 1)</f>
        <v>7.5021452378025715E-4</v>
      </c>
      <c r="U6" s="7">
        <f>$B6 * IFERROR(VLOOKUP("buildings|SO2|Asthma symptoms cough", US_national_yearly!$D:$AM, 29, FALSE) / VLOOKUP("buildings|SO2|Asthma symptoms cough", US_national_yearly!$D:$AM, 10, FALSE), 1)</f>
        <v>7.5021452378025715E-4</v>
      </c>
      <c r="V6" s="7">
        <f>$B6 * IFERROR(VLOOKUP("buildings|SO2|Asthma symptoms cough", US_national_yearly!$D:$AM, 30, FALSE) / VLOOKUP("buildings|SO2|Asthma symptoms cough", US_national_yearly!$D:$AM, 10, FALSE), 1)</f>
        <v>7.5021452378025715E-4</v>
      </c>
      <c r="W6" s="7">
        <f>$B6 * IFERROR(VLOOKUP("buildings|SO2|Asthma symptoms cough", US_national_yearly!$D:$AM, 31, FALSE) / VLOOKUP("buildings|SO2|Asthma symptoms cough", US_national_yearly!$D:$AM, 10, FALSE), 1)</f>
        <v>7.5021452378025715E-4</v>
      </c>
      <c r="X6" s="7">
        <f>$B6 * IFERROR(VLOOKUP("buildings|SO2|Asthma symptoms cough", US_national_yearly!$D:$AM, 32, FALSE) / VLOOKUP("buildings|SO2|Asthma symptoms cough", US_national_yearly!$D:$AM, 10, FALSE), 1)</f>
        <v>7.5021452378025715E-4</v>
      </c>
      <c r="Y6" s="7">
        <f>$B6 * IFERROR(VLOOKUP("buildings|SO2|Asthma symptoms cough", US_national_yearly!$D:$AM, 33, FALSE) / VLOOKUP("buildings|SO2|Asthma symptoms cough", US_national_yearly!$D:$AM, 10, FALSE), 1)</f>
        <v>7.5021452378025715E-4</v>
      </c>
      <c r="Z6" s="7">
        <f>$B6 * IFERROR(VLOOKUP("buildings|SO2|Asthma symptoms cough", US_national_yearly!$D:$AM, 34, FALSE) / VLOOKUP("buildings|SO2|Asthma symptoms cough", US_national_yearly!$D:$AM, 10, FALSE), 1)</f>
        <v>7.5021452378025715E-4</v>
      </c>
      <c r="AA6" s="7">
        <f>$B6 * IFERROR(VLOOKUP("buildings|SO2|Asthma symptoms cough", US_national_yearly!$D:$AM, 35, FALSE) / VLOOKUP("buildings|SO2|Asthma symptoms cough", US_national_yearly!$D:$AM, 10, FALSE), 1)</f>
        <v>7.5021452378025715E-4</v>
      </c>
      <c r="AB6" s="7">
        <f>$B6 * IFERROR(VLOOKUP("buildings|SO2|Asthma symptoms cough", US_national_yearly!$D:$AM, 36, FALSE) / VLOOKUP("buildings|SO2|Asthma symptoms cough", US_national_yearly!$D:$AM, 10, FALSE), 1)</f>
        <v>7.5021452378025715E-4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1.0102739751096644E-3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1.0102739751096644E-3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1.0102739751096644E-3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1.0102739751096644E-3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1.0102739751096644E-3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1.0102739751096644E-3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1.0102739751096644E-3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1.0102739751096644E-3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1.0102739751096644E-3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1.0102739751096644E-3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1.0102739751096644E-3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1.0102739751096644E-3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1.0102739751096644E-3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1.0102739751096644E-3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1.0102739751096644E-3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1.0102739751096644E-3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1.0102739751096644E-3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1.0102739751096644E-3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1.0102739751096644E-3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1.0102739751096644E-3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1.0102739751096644E-3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1.0102739751096644E-3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1.0102739751096644E-3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1.0102739751096644E-3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1.0102739751096644E-3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1.0102739751096644E-3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1.0102739751096644E-3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1.5435227313539575E-3</v>
      </c>
      <c r="C8" s="7">
        <f>$B8 * IFERROR(VLOOKUP("buildings|SO2|Asthma symptoms wheeze", US_national_yearly!$D:$AM, 11, FALSE) / VLOOKUP("buildings|SO2|Asthma symptoms wheeze", US_national_yearly!$D:$AM, 10, FALSE), 1)</f>
        <v>1.5435227313539575E-3</v>
      </c>
      <c r="D8" s="7">
        <f>$B8 * IFERROR(VLOOKUP("buildings|SO2|Asthma symptoms wheeze", US_national_yearly!$D:$AM, 12, FALSE) / VLOOKUP("buildings|SO2|Asthma symptoms wheeze", US_national_yearly!$D:$AM, 10, FALSE), 1)</f>
        <v>1.5435227313539575E-3</v>
      </c>
      <c r="E8" s="7">
        <f>$B8 * IFERROR(VLOOKUP("buildings|SO2|Asthma symptoms wheeze", US_national_yearly!$D:$AM, 13, FALSE) / VLOOKUP("buildings|SO2|Asthma symptoms wheeze", US_national_yearly!$D:$AM, 10, FALSE), 1)</f>
        <v>1.5435227313539575E-3</v>
      </c>
      <c r="F8" s="7">
        <f>$B8 * IFERROR(VLOOKUP("buildings|SO2|Asthma symptoms wheeze", US_national_yearly!$D:$AM, 14, FALSE) / VLOOKUP("buildings|SO2|Asthma symptoms wheeze", US_national_yearly!$D:$AM, 10, FALSE), 1)</f>
        <v>1.5435227313539575E-3</v>
      </c>
      <c r="G8" s="7">
        <f>$B8 * IFERROR(VLOOKUP("buildings|SO2|Asthma symptoms wheeze", US_national_yearly!$D:$AM, 15, FALSE) / VLOOKUP("buildings|SO2|Asthma symptoms wheeze", US_national_yearly!$D:$AM, 10, FALSE), 1)</f>
        <v>1.5435227313539575E-3</v>
      </c>
      <c r="H8" s="7">
        <f>$B8 * IFERROR(VLOOKUP("buildings|SO2|Asthma symptoms wheeze", US_national_yearly!$D:$AM, 16, FALSE) / VLOOKUP("buildings|SO2|Asthma symptoms wheeze", US_national_yearly!$D:$AM, 10, FALSE), 1)</f>
        <v>1.5435227313539575E-3</v>
      </c>
      <c r="I8" s="7">
        <f>$B8 * IFERROR(VLOOKUP("buildings|SO2|Asthma symptoms wheeze", US_national_yearly!$D:$AM, 17, FALSE) / VLOOKUP("buildings|SO2|Asthma symptoms wheeze", US_national_yearly!$D:$AM, 10, FALSE), 1)</f>
        <v>1.5435227313539575E-3</v>
      </c>
      <c r="J8" s="7">
        <f>$B8 * IFERROR(VLOOKUP("buildings|SO2|Asthma symptoms wheeze", US_national_yearly!$D:$AM, 18, FALSE) / VLOOKUP("buildings|SO2|Asthma symptoms wheeze", US_national_yearly!$D:$AM, 10, FALSE), 1)</f>
        <v>1.5435227313539575E-3</v>
      </c>
      <c r="K8" s="7">
        <f>$B8 * IFERROR(VLOOKUP("buildings|SO2|Asthma symptoms wheeze", US_national_yearly!$D:$AM, 19, FALSE) / VLOOKUP("buildings|SO2|Asthma symptoms wheeze", US_national_yearly!$D:$AM, 10, FALSE), 1)</f>
        <v>1.5435227313539575E-3</v>
      </c>
      <c r="L8" s="7">
        <f>$B8 * IFERROR(VLOOKUP("buildings|SO2|Asthma symptoms wheeze", US_national_yearly!$D:$AM, 20, FALSE) / VLOOKUP("buildings|SO2|Asthma symptoms wheeze", US_national_yearly!$D:$AM, 10, FALSE), 1)</f>
        <v>1.5435227313539575E-3</v>
      </c>
      <c r="M8" s="7">
        <f>$B8 * IFERROR(VLOOKUP("buildings|SO2|Asthma symptoms wheeze", US_national_yearly!$D:$AM, 21, FALSE) / VLOOKUP("buildings|SO2|Asthma symptoms wheeze", US_national_yearly!$D:$AM, 10, FALSE), 1)</f>
        <v>1.5435227313539575E-3</v>
      </c>
      <c r="N8" s="7">
        <f>$B8 * IFERROR(VLOOKUP("buildings|SO2|Asthma symptoms wheeze", US_national_yearly!$D:$AM, 22, FALSE) / VLOOKUP("buildings|SO2|Asthma symptoms wheeze", US_national_yearly!$D:$AM, 10, FALSE), 1)</f>
        <v>1.5435227313539575E-3</v>
      </c>
      <c r="O8" s="7">
        <f>$B8 * IFERROR(VLOOKUP("buildings|SO2|Asthma symptoms wheeze", US_national_yearly!$D:$AM, 23, FALSE) / VLOOKUP("buildings|SO2|Asthma symptoms wheeze", US_national_yearly!$D:$AM, 10, FALSE), 1)</f>
        <v>1.5435227313539575E-3</v>
      </c>
      <c r="P8" s="7">
        <f>$B8 * IFERROR(VLOOKUP("buildings|SO2|Asthma symptoms wheeze", US_national_yearly!$D:$AM, 24, FALSE) / VLOOKUP("buildings|SO2|Asthma symptoms wheeze", US_national_yearly!$D:$AM, 10, FALSE), 1)</f>
        <v>1.5435227313539575E-3</v>
      </c>
      <c r="Q8" s="7">
        <f>$B8 * IFERROR(VLOOKUP("buildings|SO2|Asthma symptoms wheeze", US_national_yearly!$D:$AM, 25, FALSE) / VLOOKUP("buildings|SO2|Asthma symptoms wheeze", US_national_yearly!$D:$AM, 10, FALSE), 1)</f>
        <v>1.5435227313539575E-3</v>
      </c>
      <c r="R8" s="7">
        <f>$B8 * IFERROR(VLOOKUP("buildings|SO2|Asthma symptoms wheeze", US_national_yearly!$D:$AM, 26, FALSE) / VLOOKUP("buildings|SO2|Asthma symptoms wheeze", US_national_yearly!$D:$AM, 10, FALSE), 1)</f>
        <v>1.5435227313539575E-3</v>
      </c>
      <c r="S8" s="7">
        <f>$B8 * IFERROR(VLOOKUP("buildings|SO2|Asthma symptoms wheeze", US_national_yearly!$D:$AM, 27, FALSE) / VLOOKUP("buildings|SO2|Asthma symptoms wheeze", US_national_yearly!$D:$AM, 10, FALSE), 1)</f>
        <v>1.5435227313539575E-3</v>
      </c>
      <c r="T8" s="7">
        <f>$B8 * IFERROR(VLOOKUP("buildings|SO2|Asthma symptoms wheeze", US_national_yearly!$D:$AM, 28, FALSE) / VLOOKUP("buildings|SO2|Asthma symptoms wheeze", US_national_yearly!$D:$AM, 10, FALSE), 1)</f>
        <v>1.5435227313539575E-3</v>
      </c>
      <c r="U8" s="7">
        <f>$B8 * IFERROR(VLOOKUP("buildings|SO2|Asthma symptoms wheeze", US_national_yearly!$D:$AM, 29, FALSE) / VLOOKUP("buildings|SO2|Asthma symptoms wheeze", US_national_yearly!$D:$AM, 10, FALSE), 1)</f>
        <v>1.5435227313539575E-3</v>
      </c>
      <c r="V8" s="7">
        <f>$B8 * IFERROR(VLOOKUP("buildings|SO2|Asthma symptoms wheeze", US_national_yearly!$D:$AM, 30, FALSE) / VLOOKUP("buildings|SO2|Asthma symptoms wheeze", US_national_yearly!$D:$AM, 10, FALSE), 1)</f>
        <v>1.5435227313539575E-3</v>
      </c>
      <c r="W8" s="7">
        <f>$B8 * IFERROR(VLOOKUP("buildings|SO2|Asthma symptoms wheeze", US_national_yearly!$D:$AM, 31, FALSE) / VLOOKUP("buildings|SO2|Asthma symptoms wheeze", US_national_yearly!$D:$AM, 10, FALSE), 1)</f>
        <v>1.5435227313539575E-3</v>
      </c>
      <c r="X8" s="7">
        <f>$B8 * IFERROR(VLOOKUP("buildings|SO2|Asthma symptoms wheeze", US_national_yearly!$D:$AM, 32, FALSE) / VLOOKUP("buildings|SO2|Asthma symptoms wheeze", US_national_yearly!$D:$AM, 10, FALSE), 1)</f>
        <v>1.5435227313539575E-3</v>
      </c>
      <c r="Y8" s="7">
        <f>$B8 * IFERROR(VLOOKUP("buildings|SO2|Asthma symptoms wheeze", US_national_yearly!$D:$AM, 33, FALSE) / VLOOKUP("buildings|SO2|Asthma symptoms wheeze", US_national_yearly!$D:$AM, 10, FALSE), 1)</f>
        <v>1.5435227313539575E-3</v>
      </c>
      <c r="Z8" s="7">
        <f>$B8 * IFERROR(VLOOKUP("buildings|SO2|Asthma symptoms wheeze", US_national_yearly!$D:$AM, 34, FALSE) / VLOOKUP("buildings|SO2|Asthma symptoms wheeze", US_national_yearly!$D:$AM, 10, FALSE), 1)</f>
        <v>1.5435227313539575E-3</v>
      </c>
      <c r="AA8" s="7">
        <f>$B8 * IFERROR(VLOOKUP("buildings|SO2|Asthma symptoms wheeze", US_national_yearly!$D:$AM, 35, FALSE) / VLOOKUP("buildings|SO2|Asthma symptoms wheeze", US_national_yearly!$D:$AM, 10, FALSE), 1)</f>
        <v>1.5435227313539575E-3</v>
      </c>
      <c r="AB8" s="7">
        <f>$B8 * IFERROR(VLOOKUP("buildings|SO2|Asthma symptoms wheeze", US_national_yearly!$D:$AM, 36, FALSE) / VLOOKUP("buildings|SO2|Asthma symptoms wheeze", US_national_yearly!$D:$AM, 10, FALSE), 1)</f>
        <v>1.5435227313539575E-3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1.5224526462826232E-5</v>
      </c>
      <c r="C12" s="7">
        <f>$B12 * IFERROR(VLOOKUP("buildings|SO2|Respiratory hospital admissions", US_national_yearly!$D:$AM, 11, FALSE) / VLOOKUP("buildings|SO2|Respiratory hospital admissions", US_national_yearly!$D:$AM, 10, FALSE), 1)</f>
        <v>1.531444834741852E-5</v>
      </c>
      <c r="D12" s="7">
        <f>$B12 * IFERROR(VLOOKUP("buildings|SO2|Respiratory hospital admissions", US_national_yearly!$D:$AM, 12, FALSE) / VLOOKUP("buildings|SO2|Respiratory hospital admissions", US_national_yearly!$D:$AM, 10, FALSE), 1)</f>
        <v>1.5404370232010807E-5</v>
      </c>
      <c r="E12" s="7">
        <f>$B12 * IFERROR(VLOOKUP("buildings|SO2|Respiratory hospital admissions", US_national_yearly!$D:$AM, 13, FALSE) / VLOOKUP("buildings|SO2|Respiratory hospital admissions", US_national_yearly!$D:$AM, 10, FALSE), 1)</f>
        <v>1.5494292116603097E-5</v>
      </c>
      <c r="F12" s="7">
        <f>$B12 * IFERROR(VLOOKUP("buildings|SO2|Respiratory hospital admissions", US_national_yearly!$D:$AM, 14, FALSE) / VLOOKUP("buildings|SO2|Respiratory hospital admissions", US_national_yearly!$D:$AM, 10, FALSE), 1)</f>
        <v>1.5584214001195381E-5</v>
      </c>
      <c r="G12" s="7">
        <f>$B12 * IFERROR(VLOOKUP("buildings|SO2|Respiratory hospital admissions", US_national_yearly!$D:$AM, 15, FALSE) / VLOOKUP("buildings|SO2|Respiratory hospital admissions", US_national_yearly!$D:$AM, 10, FALSE), 1)</f>
        <v>1.5682217526502446E-5</v>
      </c>
      <c r="H12" s="7">
        <f>$B12 * IFERROR(VLOOKUP("buildings|SO2|Respiratory hospital admissions", US_national_yearly!$D:$AM, 16, FALSE) / VLOOKUP("buildings|SO2|Respiratory hospital admissions", US_national_yearly!$D:$AM, 10, FALSE), 1)</f>
        <v>1.5780221051809508E-5</v>
      </c>
      <c r="I12" s="7">
        <f>$B12 * IFERROR(VLOOKUP("buildings|SO2|Respiratory hospital admissions", US_national_yearly!$D:$AM, 17, FALSE) / VLOOKUP("buildings|SO2|Respiratory hospital admissions", US_national_yearly!$D:$AM, 10, FALSE), 1)</f>
        <v>1.5876667332480879E-5</v>
      </c>
      <c r="J12" s="7">
        <f>$B12 * IFERROR(VLOOKUP("buildings|SO2|Respiratory hospital admissions", US_national_yearly!$D:$AM, 18, FALSE) / VLOOKUP("buildings|SO2|Respiratory hospital admissions", US_national_yearly!$D:$AM, 10, FALSE), 1)</f>
        <v>1.5973113613152253E-5</v>
      </c>
      <c r="K12" s="7">
        <f>$B12 * IFERROR(VLOOKUP("buildings|SO2|Respiratory hospital admissions", US_national_yearly!$D:$AM, 19, FALSE) / VLOOKUP("buildings|SO2|Respiratory hospital admissions", US_national_yearly!$D:$AM, 10, FALSE), 1)</f>
        <v>1.6069559893823624E-5</v>
      </c>
      <c r="L12" s="7">
        <f>$B12 * IFERROR(VLOOKUP("buildings|SO2|Respiratory hospital admissions", US_national_yearly!$D:$AM, 20, FALSE) / VLOOKUP("buildings|SO2|Respiratory hospital admissions", US_national_yearly!$D:$AM, 10, FALSE), 1)</f>
        <v>1.6166006174494995E-5</v>
      </c>
      <c r="M12" s="7">
        <f>$B12 * IFERROR(VLOOKUP("buildings|SO2|Respiratory hospital admissions", US_national_yearly!$D:$AM, 21, FALSE) / VLOOKUP("buildings|SO2|Respiratory hospital admissions", US_national_yearly!$D:$AM, 10, FALSE), 1)</f>
        <v>1.6262452455166372E-5</v>
      </c>
      <c r="N12" s="7">
        <f>$B12 * IFERROR(VLOOKUP("buildings|SO2|Respiratory hospital admissions", US_national_yearly!$D:$AM, 22, FALSE) / VLOOKUP("buildings|SO2|Respiratory hospital admissions", US_national_yearly!$D:$AM, 10, FALSE), 1)</f>
        <v>1.6332874205846146E-5</v>
      </c>
      <c r="O12" s="7">
        <f>$B12 * IFERROR(VLOOKUP("buildings|SO2|Respiratory hospital admissions", US_national_yearly!$D:$AM, 23, FALSE) / VLOOKUP("buildings|SO2|Respiratory hospital admissions", US_national_yearly!$D:$AM, 10, FALSE), 1)</f>
        <v>1.6403295956525921E-5</v>
      </c>
      <c r="P12" s="7">
        <f>$B12 * IFERROR(VLOOKUP("buildings|SO2|Respiratory hospital admissions", US_national_yearly!$D:$AM, 24, FALSE) / VLOOKUP("buildings|SO2|Respiratory hospital admissions", US_national_yearly!$D:$AM, 10, FALSE), 1)</f>
        <v>1.6473717707205698E-5</v>
      </c>
      <c r="Q12" s="7">
        <f>$B12 * IFERROR(VLOOKUP("buildings|SO2|Respiratory hospital admissions", US_national_yearly!$D:$AM, 25, FALSE) / VLOOKUP("buildings|SO2|Respiratory hospital admissions", US_national_yearly!$D:$AM, 10, FALSE), 1)</f>
        <v>1.6544139457885472E-5</v>
      </c>
      <c r="R12" s="7">
        <f>$B12 * IFERROR(VLOOKUP("buildings|SO2|Respiratory hospital admissions", US_national_yearly!$D:$AM, 26, FALSE) / VLOOKUP("buildings|SO2|Respiratory hospital admissions", US_national_yearly!$D:$AM, 10, FALSE), 1)</f>
        <v>1.661456120856525E-5</v>
      </c>
      <c r="S12" s="7">
        <f>$B12 * IFERROR(VLOOKUP("buildings|SO2|Respiratory hospital admissions", US_national_yearly!$D:$AM, 27, FALSE) / VLOOKUP("buildings|SO2|Respiratory hospital admissions", US_national_yearly!$D:$AM, 10, FALSE), 1)</f>
        <v>1.6681709174469134E-5</v>
      </c>
      <c r="T12" s="7">
        <f>$B12 * IFERROR(VLOOKUP("buildings|SO2|Respiratory hospital admissions", US_national_yearly!$D:$AM, 28, FALSE) / VLOOKUP("buildings|SO2|Respiratory hospital admissions", US_national_yearly!$D:$AM, 10, FALSE), 1)</f>
        <v>1.6748857140373025E-5</v>
      </c>
      <c r="U12" s="7">
        <f>$B12 * IFERROR(VLOOKUP("buildings|SO2|Respiratory hospital admissions", US_national_yearly!$D:$AM, 29, FALSE) / VLOOKUP("buildings|SO2|Respiratory hospital admissions", US_national_yearly!$D:$AM, 10, FALSE), 1)</f>
        <v>1.6816005106276909E-5</v>
      </c>
      <c r="V12" s="7">
        <f>$B12 * IFERROR(VLOOKUP("buildings|SO2|Respiratory hospital admissions", US_national_yearly!$D:$AM, 30, FALSE) / VLOOKUP("buildings|SO2|Respiratory hospital admissions", US_national_yearly!$D:$AM, 10, FALSE), 1)</f>
        <v>1.6883153072180796E-5</v>
      </c>
      <c r="W12" s="7">
        <f>$B12 * IFERROR(VLOOKUP("buildings|SO2|Respiratory hospital admissions", US_national_yearly!$D:$AM, 31, FALSE) / VLOOKUP("buildings|SO2|Respiratory hospital admissions", US_national_yearly!$D:$AM, 10, FALSE), 1)</f>
        <v>1.6950301038084684E-5</v>
      </c>
      <c r="X12" s="7">
        <f>$B12 * IFERROR(VLOOKUP("buildings|SO2|Respiratory hospital admissions", US_national_yearly!$D:$AM, 32, FALSE) / VLOOKUP("buildings|SO2|Respiratory hospital admissions", US_national_yearly!$D:$AM, 10, FALSE), 1)</f>
        <v>1.7014109125520401E-5</v>
      </c>
      <c r="Y12" s="7">
        <f>$B12 * IFERROR(VLOOKUP("buildings|SO2|Respiratory hospital admissions", US_national_yearly!$D:$AM, 33, FALSE) / VLOOKUP("buildings|SO2|Respiratory hospital admissions", US_national_yearly!$D:$AM, 10, FALSE), 1)</f>
        <v>1.7077917212956122E-5</v>
      </c>
      <c r="Z12" s="7">
        <f>$B12 * IFERROR(VLOOKUP("buildings|SO2|Respiratory hospital admissions", US_national_yearly!$D:$AM, 34, FALSE) / VLOOKUP("buildings|SO2|Respiratory hospital admissions", US_national_yearly!$D:$AM, 10, FALSE), 1)</f>
        <v>1.714172530039184E-5</v>
      </c>
      <c r="AA12" s="7">
        <f>$B12 * IFERROR(VLOOKUP("buildings|SO2|Respiratory hospital admissions", US_national_yearly!$D:$AM, 35, FALSE) / VLOOKUP("buildings|SO2|Respiratory hospital admissions", US_national_yearly!$D:$AM, 10, FALSE), 1)</f>
        <v>1.7205533387827557E-5</v>
      </c>
      <c r="AB12" s="7">
        <f>$B12 * IFERROR(VLOOKUP("buildings|SO2|Respiratory hospital admissions", US_national_yearly!$D:$AM, 36, FALSE) / VLOOKUP("buildings|SO2|Respiratory hospital admissions", US_national_yearly!$D:$AM, 10, FALSE), 1)</f>
        <v>1.7269341475263278E-5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2.2749224065278591E-5</v>
      </c>
      <c r="C13" s="7">
        <f>$B13 * IFERROR(VLOOKUP("buildings|SO2|Non-fatal heart attacks", US_national_yearly!$D:$AM, 11, FALSE) / VLOOKUP("buildings|SO2|Non-fatal heart attacks", US_national_yearly!$D:$AM, 10, FALSE), 1)</f>
        <v>2.3417274569934608E-5</v>
      </c>
      <c r="D13" s="7">
        <f>$B13 * IFERROR(VLOOKUP("buildings|SO2|Non-fatal heart attacks", US_national_yearly!$D:$AM, 12, FALSE) / VLOOKUP("buildings|SO2|Non-fatal heart attacks", US_national_yearly!$D:$AM, 10, FALSE), 1)</f>
        <v>2.4085325074590622E-5</v>
      </c>
      <c r="E13" s="7">
        <f>$B13 * IFERROR(VLOOKUP("buildings|SO2|Non-fatal heart attacks", US_national_yearly!$D:$AM, 13, FALSE) / VLOOKUP("buildings|SO2|Non-fatal heart attacks", US_national_yearly!$D:$AM, 10, FALSE), 1)</f>
        <v>2.4753375579246636E-5</v>
      </c>
      <c r="F13" s="7">
        <f>$B13 * IFERROR(VLOOKUP("buildings|SO2|Non-fatal heart attacks", US_national_yearly!$D:$AM, 14, FALSE) / VLOOKUP("buildings|SO2|Non-fatal heart attacks", US_national_yearly!$D:$AM, 10, FALSE), 1)</f>
        <v>2.5421426083902653E-5</v>
      </c>
      <c r="G13" s="7">
        <f>$B13 * IFERROR(VLOOKUP("buildings|SO2|Non-fatal heart attacks", US_national_yearly!$D:$AM, 15, FALSE) / VLOOKUP("buildings|SO2|Non-fatal heart attacks", US_national_yearly!$D:$AM, 10, FALSE), 1)</f>
        <v>2.6051505453173821E-5</v>
      </c>
      <c r="H13" s="7">
        <f>$B13 * IFERROR(VLOOKUP("buildings|SO2|Non-fatal heart attacks", US_national_yearly!$D:$AM, 16, FALSE) / VLOOKUP("buildings|SO2|Non-fatal heart attacks", US_national_yearly!$D:$AM, 10, FALSE), 1)</f>
        <v>2.6681584822444992E-5</v>
      </c>
      <c r="I13" s="7">
        <f>$B13 * IFERROR(VLOOKUP("buildings|SO2|Non-fatal heart attacks", US_national_yearly!$D:$AM, 17, FALSE) / VLOOKUP("buildings|SO2|Non-fatal heart attacks", US_national_yearly!$D:$AM, 10, FALSE), 1)</f>
        <v>2.718875695067251E-5</v>
      </c>
      <c r="J13" s="7">
        <f>$B13 * IFERROR(VLOOKUP("buildings|SO2|Non-fatal heart attacks", US_national_yearly!$D:$AM, 18, FALSE) / VLOOKUP("buildings|SO2|Non-fatal heart attacks", US_national_yearly!$D:$AM, 10, FALSE), 1)</f>
        <v>2.7695929078900031E-5</v>
      </c>
      <c r="K13" s="7">
        <f>$B13 * IFERROR(VLOOKUP("buildings|SO2|Non-fatal heart attacks", US_national_yearly!$D:$AM, 19, FALSE) / VLOOKUP("buildings|SO2|Non-fatal heart attacks", US_national_yearly!$D:$AM, 10, FALSE), 1)</f>
        <v>2.8203101207127552E-5</v>
      </c>
      <c r="L13" s="7">
        <f>$B13 * IFERROR(VLOOKUP("buildings|SO2|Non-fatal heart attacks", US_national_yearly!$D:$AM, 20, FALSE) / VLOOKUP("buildings|SO2|Non-fatal heart attacks", US_national_yearly!$D:$AM, 10, FALSE), 1)</f>
        <v>2.871027333535508E-5</v>
      </c>
      <c r="M13" s="7">
        <f>$B13 * IFERROR(VLOOKUP("buildings|SO2|Non-fatal heart attacks", US_national_yearly!$D:$AM, 21, FALSE) / VLOOKUP("buildings|SO2|Non-fatal heart attacks", US_national_yearly!$D:$AM, 10, FALSE), 1)</f>
        <v>2.9217445463582605E-5</v>
      </c>
      <c r="N13" s="7">
        <f>$B13 * IFERROR(VLOOKUP("buildings|SO2|Non-fatal heart attacks", US_national_yearly!$D:$AM, 22, FALSE) / VLOOKUP("buildings|SO2|Non-fatal heart attacks", US_national_yearly!$D:$AM, 10, FALSE), 1)</f>
        <v>2.9546623751122511E-5</v>
      </c>
      <c r="O13" s="7">
        <f>$B13 * IFERROR(VLOOKUP("buildings|SO2|Non-fatal heart attacks", US_national_yearly!$D:$AM, 23, FALSE) / VLOOKUP("buildings|SO2|Non-fatal heart attacks", US_national_yearly!$D:$AM, 10, FALSE), 1)</f>
        <v>2.9875802038662421E-5</v>
      </c>
      <c r="P13" s="7">
        <f>$B13 * IFERROR(VLOOKUP("buildings|SO2|Non-fatal heart attacks", US_national_yearly!$D:$AM, 24, FALSE) / VLOOKUP("buildings|SO2|Non-fatal heart attacks", US_national_yearly!$D:$AM, 10, FALSE), 1)</f>
        <v>3.0204980326202327E-5</v>
      </c>
      <c r="Q13" s="7">
        <f>$B13 * IFERROR(VLOOKUP("buildings|SO2|Non-fatal heart attacks", US_national_yearly!$D:$AM, 25, FALSE) / VLOOKUP("buildings|SO2|Non-fatal heart attacks", US_national_yearly!$D:$AM, 10, FALSE), 1)</f>
        <v>3.0534158613742233E-5</v>
      </c>
      <c r="R13" s="7">
        <f>$B13 * IFERROR(VLOOKUP("buildings|SO2|Non-fatal heart attacks", US_national_yearly!$D:$AM, 26, FALSE) / VLOOKUP("buildings|SO2|Non-fatal heart attacks", US_national_yearly!$D:$AM, 10, FALSE), 1)</f>
        <v>3.0863336901282146E-5</v>
      </c>
      <c r="S13" s="7">
        <f>$B13 * IFERROR(VLOOKUP("buildings|SO2|Non-fatal heart attacks", US_national_yearly!$D:$AM, 27, FALSE) / VLOOKUP("buildings|SO2|Non-fatal heart attacks", US_national_yearly!$D:$AM, 10, FALSE), 1)</f>
        <v>3.1035233264046598E-5</v>
      </c>
      <c r="T13" s="7">
        <f>$B13 * IFERROR(VLOOKUP("buildings|SO2|Non-fatal heart attacks", US_national_yearly!$D:$AM, 28, FALSE) / VLOOKUP("buildings|SO2|Non-fatal heart attacks", US_national_yearly!$D:$AM, 10, FALSE), 1)</f>
        <v>3.1207129626811043E-5</v>
      </c>
      <c r="U13" s="7">
        <f>$B13 * IFERROR(VLOOKUP("buildings|SO2|Non-fatal heart attacks", US_national_yearly!$D:$AM, 29, FALSE) / VLOOKUP("buildings|SO2|Non-fatal heart attacks", US_national_yearly!$D:$AM, 10, FALSE), 1)</f>
        <v>3.1379025989575481E-5</v>
      </c>
      <c r="V13" s="7">
        <f>$B13 * IFERROR(VLOOKUP("buildings|SO2|Non-fatal heart attacks", US_national_yearly!$D:$AM, 30, FALSE) / VLOOKUP("buildings|SO2|Non-fatal heart attacks", US_national_yearly!$D:$AM, 10, FALSE), 1)</f>
        <v>3.1550922352339926E-5</v>
      </c>
      <c r="W13" s="7">
        <f>$B13 * IFERROR(VLOOKUP("buildings|SO2|Non-fatal heart attacks", US_national_yearly!$D:$AM, 31, FALSE) / VLOOKUP("buildings|SO2|Non-fatal heart attacks", US_national_yearly!$D:$AM, 10, FALSE), 1)</f>
        <v>3.1722818715104371E-5</v>
      </c>
      <c r="X13" s="7">
        <f>$B13 * IFERROR(VLOOKUP("buildings|SO2|Non-fatal heart attacks", US_national_yearly!$D:$AM, 32, FALSE) / VLOOKUP("buildings|SO2|Non-fatal heart attacks", US_national_yearly!$D:$AM, 10, FALSE), 1)</f>
        <v>3.1852647471389376E-5</v>
      </c>
      <c r="Y13" s="7">
        <f>$B13 * IFERROR(VLOOKUP("buildings|SO2|Non-fatal heart attacks", US_national_yearly!$D:$AM, 33, FALSE) / VLOOKUP("buildings|SO2|Non-fatal heart attacks", US_national_yearly!$D:$AM, 10, FALSE), 1)</f>
        <v>3.1982476227674374E-5</v>
      </c>
      <c r="Z13" s="7">
        <f>$B13 * IFERROR(VLOOKUP("buildings|SO2|Non-fatal heart attacks", US_national_yearly!$D:$AM, 34, FALSE) / VLOOKUP("buildings|SO2|Non-fatal heart attacks", US_national_yearly!$D:$AM, 10, FALSE), 1)</f>
        <v>3.2112304983959366E-5</v>
      </c>
      <c r="AA13" s="7">
        <f>$B13 * IFERROR(VLOOKUP("buildings|SO2|Non-fatal heart attacks", US_national_yearly!$D:$AM, 35, FALSE) / VLOOKUP("buildings|SO2|Non-fatal heart attacks", US_national_yearly!$D:$AM, 10, FALSE), 1)</f>
        <v>3.2242133740244364E-5</v>
      </c>
      <c r="AB13" s="7">
        <f>$B13 * IFERROR(VLOOKUP("buildings|SO2|Non-fatal heart attacks", US_national_yearly!$D:$AM, 36, FALSE) / VLOOKUP("buildings|SO2|Non-fatal heart attacks", US_national_yearly!$D:$AM, 10, FALSE), 1)</f>
        <v>3.2371962496529362E-5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9.332716996859336E-2</v>
      </c>
      <c r="C14" s="7">
        <f>$B14 * IFERROR(VLOOKUP("buildings|SO2|Minor restricted activity days", US_national_yearly!$D:$AM, 11, FALSE) / VLOOKUP("buildings|SO2|Minor restricted activity days", US_national_yearly!$D:$AM, 10, FALSE), 1)</f>
        <v>9.3563422783053782E-2</v>
      </c>
      <c r="D14" s="7">
        <f>$B14 * IFERROR(VLOOKUP("buildings|SO2|Minor restricted activity days", US_national_yearly!$D:$AM, 12, FALSE) / VLOOKUP("buildings|SO2|Minor restricted activity days", US_national_yearly!$D:$AM, 10, FALSE), 1)</f>
        <v>9.3799675597514232E-2</v>
      </c>
      <c r="E14" s="7">
        <f>$B14 * IFERROR(VLOOKUP("buildings|SO2|Minor restricted activity days", US_national_yearly!$D:$AM, 13, FALSE) / VLOOKUP("buildings|SO2|Minor restricted activity days", US_national_yearly!$D:$AM, 10, FALSE), 1)</f>
        <v>9.4035928411974681E-2</v>
      </c>
      <c r="F14" s="7">
        <f>$B14 * IFERROR(VLOOKUP("buildings|SO2|Minor restricted activity days", US_national_yearly!$D:$AM, 14, FALSE) / VLOOKUP("buildings|SO2|Minor restricted activity days", US_national_yearly!$D:$AM, 10, FALSE), 1)</f>
        <v>9.4272181226435117E-2</v>
      </c>
      <c r="G14" s="7">
        <f>$B14 * IFERROR(VLOOKUP("buildings|SO2|Minor restricted activity days", US_national_yearly!$D:$AM, 15, FALSE) / VLOOKUP("buildings|SO2|Minor restricted activity days", US_national_yearly!$D:$AM, 10, FALSE), 1)</f>
        <v>9.4619566472694039E-2</v>
      </c>
      <c r="H14" s="7">
        <f>$B14 * IFERROR(VLOOKUP("buildings|SO2|Minor restricted activity days", US_national_yearly!$D:$AM, 16, FALSE) / VLOOKUP("buildings|SO2|Minor restricted activity days", US_national_yearly!$D:$AM, 10, FALSE), 1)</f>
        <v>9.4966951718952947E-2</v>
      </c>
      <c r="I14" s="7">
        <f>$B14 * IFERROR(VLOOKUP("buildings|SO2|Minor restricted activity days", US_national_yearly!$D:$AM, 17, FALSE) / VLOOKUP("buildings|SO2|Minor restricted activity days", US_national_yearly!$D:$AM, 10, FALSE), 1)</f>
        <v>9.5558583752644949E-2</v>
      </c>
      <c r="J14" s="7">
        <f>$B14 * IFERROR(VLOOKUP("buildings|SO2|Minor restricted activity days", US_national_yearly!$D:$AM, 18, FALSE) / VLOOKUP("buildings|SO2|Minor restricted activity days", US_national_yearly!$D:$AM, 10, FALSE), 1)</f>
        <v>9.6150215786336965E-2</v>
      </c>
      <c r="K14" s="7">
        <f>$B14 * IFERROR(VLOOKUP("buildings|SO2|Minor restricted activity days", US_national_yearly!$D:$AM, 19, FALSE) / VLOOKUP("buildings|SO2|Minor restricted activity days", US_national_yearly!$D:$AM, 10, FALSE), 1)</f>
        <v>9.6741847820028967E-2</v>
      </c>
      <c r="L14" s="7">
        <f>$B14 * IFERROR(VLOOKUP("buildings|SO2|Minor restricted activity days", US_national_yearly!$D:$AM, 20, FALSE) / VLOOKUP("buildings|SO2|Minor restricted activity days", US_national_yearly!$D:$AM, 10, FALSE), 1)</f>
        <v>9.7333479853720956E-2</v>
      </c>
      <c r="M14" s="7">
        <f>$B14 * IFERROR(VLOOKUP("buildings|SO2|Minor restricted activity days", US_national_yearly!$D:$AM, 21, FALSE) / VLOOKUP("buildings|SO2|Minor restricted activity days", US_national_yearly!$D:$AM, 10, FALSE), 1)</f>
        <v>9.7925111887412958E-2</v>
      </c>
      <c r="N14" s="7">
        <f>$B14 * IFERROR(VLOOKUP("buildings|SO2|Minor restricted activity days", US_national_yearly!$D:$AM, 22, FALSE) / VLOOKUP("buildings|SO2|Minor restricted activity days", US_national_yearly!$D:$AM, 10, FALSE), 1)</f>
        <v>9.8734137603703837E-2</v>
      </c>
      <c r="O14" s="7">
        <f>$B14 * IFERROR(VLOOKUP("buildings|SO2|Minor restricted activity days", US_national_yearly!$D:$AM, 23, FALSE) / VLOOKUP("buildings|SO2|Minor restricted activity days", US_national_yearly!$D:$AM, 10, FALSE), 1)</f>
        <v>9.9543163319994715E-2</v>
      </c>
      <c r="P14" s="7">
        <f>$B14 * IFERROR(VLOOKUP("buildings|SO2|Minor restricted activity days", US_national_yearly!$D:$AM, 24, FALSE) / VLOOKUP("buildings|SO2|Minor restricted activity days", US_national_yearly!$D:$AM, 10, FALSE), 1)</f>
        <v>0.10035218903628558</v>
      </c>
      <c r="Q14" s="7">
        <f>$B14 * IFERROR(VLOOKUP("buildings|SO2|Minor restricted activity days", US_national_yearly!$D:$AM, 25, FALSE) / VLOOKUP("buildings|SO2|Minor restricted activity days", US_national_yearly!$D:$AM, 10, FALSE), 1)</f>
        <v>0.10116121475257646</v>
      </c>
      <c r="R14" s="7">
        <f>$B14 * IFERROR(VLOOKUP("buildings|SO2|Minor restricted activity days", US_national_yearly!$D:$AM, 26, FALSE) / VLOOKUP("buildings|SO2|Minor restricted activity days", US_national_yearly!$D:$AM, 10, FALSE), 1)</f>
        <v>0.10197024046886734</v>
      </c>
      <c r="S14" s="7">
        <f>$B14 * IFERROR(VLOOKUP("buildings|SO2|Minor restricted activity days", US_national_yearly!$D:$AM, 27, FALSE) / VLOOKUP("buildings|SO2|Minor restricted activity days", US_national_yearly!$D:$AM, 10, FALSE), 1)</f>
        <v>0.1027949896632729</v>
      </c>
      <c r="T14" s="7">
        <f>$B14 * IFERROR(VLOOKUP("buildings|SO2|Minor restricted activity days", US_national_yearly!$D:$AM, 28, FALSE) / VLOOKUP("buildings|SO2|Minor restricted activity days", US_national_yearly!$D:$AM, 10, FALSE), 1)</f>
        <v>0.10361973885767846</v>
      </c>
      <c r="U14" s="7">
        <f>$B14 * IFERROR(VLOOKUP("buildings|SO2|Minor restricted activity days", US_national_yearly!$D:$AM, 29, FALSE) / VLOOKUP("buildings|SO2|Minor restricted activity days", US_national_yearly!$D:$AM, 10, FALSE), 1)</f>
        <v>0.10444448805208403</v>
      </c>
      <c r="V14" s="7">
        <f>$B14 * IFERROR(VLOOKUP("buildings|SO2|Minor restricted activity days", US_national_yearly!$D:$AM, 30, FALSE) / VLOOKUP("buildings|SO2|Minor restricted activity days", US_national_yearly!$D:$AM, 10, FALSE), 1)</f>
        <v>0.10526923724648959</v>
      </c>
      <c r="W14" s="7">
        <f>$B14 * IFERROR(VLOOKUP("buildings|SO2|Minor restricted activity days", US_national_yearly!$D:$AM, 31, FALSE) / VLOOKUP("buildings|SO2|Minor restricted activity days", US_national_yearly!$D:$AM, 10, FALSE), 1)</f>
        <v>0.10609398644089518</v>
      </c>
      <c r="X14" s="7">
        <f>$B14 * IFERROR(VLOOKUP("buildings|SO2|Minor restricted activity days", US_national_yearly!$D:$AM, 32, FALSE) / VLOOKUP("buildings|SO2|Minor restricted activity days", US_national_yearly!$D:$AM, 10, FALSE), 1)</f>
        <v>0.10681930562833548</v>
      </c>
      <c r="Y14" s="7">
        <f>$B14 * IFERROR(VLOOKUP("buildings|SO2|Minor restricted activity days", US_national_yearly!$D:$AM, 33, FALSE) / VLOOKUP("buildings|SO2|Minor restricted activity days", US_national_yearly!$D:$AM, 10, FALSE), 1)</f>
        <v>0.1075446248157758</v>
      </c>
      <c r="Z14" s="7">
        <f>$B14 * IFERROR(VLOOKUP("buildings|SO2|Minor restricted activity days", US_national_yearly!$D:$AM, 34, FALSE) / VLOOKUP("buildings|SO2|Minor restricted activity days", US_national_yearly!$D:$AM, 10, FALSE), 1)</f>
        <v>0.1082699440032161</v>
      </c>
      <c r="AA14" s="7">
        <f>$B14 * IFERROR(VLOOKUP("buildings|SO2|Minor restricted activity days", US_national_yearly!$D:$AM, 35, FALSE) / VLOOKUP("buildings|SO2|Minor restricted activity days", US_national_yearly!$D:$AM, 10, FALSE), 1)</f>
        <v>0.10899526319065642</v>
      </c>
      <c r="AB14" s="7">
        <f>$B14 * IFERROR(VLOOKUP("buildings|SO2|Minor restricted activity days", US_national_yearly!$D:$AM, 36, FALSE) / VLOOKUP("buildings|SO2|Minor restricted activity days", US_national_yearly!$D:$AM, 10, FALSE), 1)</f>
        <v>0.10972058237809672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1.5790713613874956E-2</v>
      </c>
      <c r="C15" s="7">
        <f>$B15 * IFERROR(VLOOKUP("buildings|SO2|Work loss days", US_national_yearly!$D:$AM, 11, FALSE) / VLOOKUP("buildings|SO2|Work loss days", US_national_yearly!$D:$AM, 10, FALSE), 1)</f>
        <v>1.5842017385249537E-2</v>
      </c>
      <c r="D15" s="7">
        <f>$B15 * IFERROR(VLOOKUP("buildings|SO2|Work loss days", US_national_yearly!$D:$AM, 12, FALSE) / VLOOKUP("buildings|SO2|Work loss days", US_national_yearly!$D:$AM, 10, FALSE), 1)</f>
        <v>1.5893321156624122E-2</v>
      </c>
      <c r="E15" s="7">
        <f>$B15 * IFERROR(VLOOKUP("buildings|SO2|Work loss days", US_national_yearly!$D:$AM, 13, FALSE) / VLOOKUP("buildings|SO2|Work loss days", US_national_yearly!$D:$AM, 10, FALSE), 1)</f>
        <v>1.5944624927998703E-2</v>
      </c>
      <c r="F15" s="7">
        <f>$B15 * IFERROR(VLOOKUP("buildings|SO2|Work loss days", US_national_yearly!$D:$AM, 14, FALSE) / VLOOKUP("buildings|SO2|Work loss days", US_national_yearly!$D:$AM, 10, FALSE), 1)</f>
        <v>1.5995928699373285E-2</v>
      </c>
      <c r="G15" s="7">
        <f>$B15 * IFERROR(VLOOKUP("buildings|SO2|Work loss days", US_national_yearly!$D:$AM, 15, FALSE) / VLOOKUP("buildings|SO2|Work loss days", US_national_yearly!$D:$AM, 10, FALSE), 1)</f>
        <v>1.6062934263868449E-2</v>
      </c>
      <c r="H15" s="7">
        <f>$B15 * IFERROR(VLOOKUP("buildings|SO2|Work loss days", US_national_yearly!$D:$AM, 16, FALSE) / VLOOKUP("buildings|SO2|Work loss days", US_national_yearly!$D:$AM, 10, FALSE), 1)</f>
        <v>1.6129939828363617E-2</v>
      </c>
      <c r="I15" s="7">
        <f>$B15 * IFERROR(VLOOKUP("buildings|SO2|Work loss days", US_national_yearly!$D:$AM, 17, FALSE) / VLOOKUP("buildings|SO2|Work loss days", US_national_yearly!$D:$AM, 10, FALSE), 1)</f>
        <v>1.6227905714102143E-2</v>
      </c>
      <c r="J15" s="7">
        <f>$B15 * IFERROR(VLOOKUP("buildings|SO2|Work loss days", US_national_yearly!$D:$AM, 18, FALSE) / VLOOKUP("buildings|SO2|Work loss days", US_national_yearly!$D:$AM, 10, FALSE), 1)</f>
        <v>1.6325871599840669E-2</v>
      </c>
      <c r="K15" s="7">
        <f>$B15 * IFERROR(VLOOKUP("buildings|SO2|Work loss days", US_national_yearly!$D:$AM, 19, FALSE) / VLOOKUP("buildings|SO2|Work loss days", US_national_yearly!$D:$AM, 10, FALSE), 1)</f>
        <v>1.6423837485579195E-2</v>
      </c>
      <c r="L15" s="7">
        <f>$B15 * IFERROR(VLOOKUP("buildings|SO2|Work loss days", US_national_yearly!$D:$AM, 20, FALSE) / VLOOKUP("buildings|SO2|Work loss days", US_national_yearly!$D:$AM, 10, FALSE), 1)</f>
        <v>1.6521803371317721E-2</v>
      </c>
      <c r="M15" s="7">
        <f>$B15 * IFERROR(VLOOKUP("buildings|SO2|Work loss days", US_national_yearly!$D:$AM, 21, FALSE) / VLOOKUP("buildings|SO2|Work loss days", US_national_yearly!$D:$AM, 10, FALSE), 1)</f>
        <v>1.6619769257056244E-2</v>
      </c>
      <c r="N15" s="7">
        <f>$B15 * IFERROR(VLOOKUP("buildings|SO2|Work loss days", US_national_yearly!$D:$AM, 22, FALSE) / VLOOKUP("buildings|SO2|Work loss days", US_national_yearly!$D:$AM, 10, FALSE), 1)</f>
        <v>1.6742616872965244E-2</v>
      </c>
      <c r="O15" s="7">
        <f>$B15 * IFERROR(VLOOKUP("buildings|SO2|Work loss days", US_national_yearly!$D:$AM, 23, FALSE) / VLOOKUP("buildings|SO2|Work loss days", US_national_yearly!$D:$AM, 10, FALSE), 1)</f>
        <v>1.686546448887424E-2</v>
      </c>
      <c r="P15" s="7">
        <f>$B15 * IFERROR(VLOOKUP("buildings|SO2|Work loss days", US_national_yearly!$D:$AM, 24, FALSE) / VLOOKUP("buildings|SO2|Work loss days", US_national_yearly!$D:$AM, 10, FALSE), 1)</f>
        <v>1.6988312104783236E-2</v>
      </c>
      <c r="Q15" s="7">
        <f>$B15 * IFERROR(VLOOKUP("buildings|SO2|Work loss days", US_national_yearly!$D:$AM, 25, FALSE) / VLOOKUP("buildings|SO2|Work loss days", US_national_yearly!$D:$AM, 10, FALSE), 1)</f>
        <v>1.7111159720692236E-2</v>
      </c>
      <c r="R15" s="7">
        <f>$B15 * IFERROR(VLOOKUP("buildings|SO2|Work loss days", US_national_yearly!$D:$AM, 26, FALSE) / VLOOKUP("buildings|SO2|Work loss days", US_national_yearly!$D:$AM, 10, FALSE), 1)</f>
        <v>1.7234007336601225E-2</v>
      </c>
      <c r="S15" s="7">
        <f>$B15 * IFERROR(VLOOKUP("buildings|SO2|Work loss days", US_national_yearly!$D:$AM, 27, FALSE) / VLOOKUP("buildings|SO2|Work loss days", US_national_yearly!$D:$AM, 10, FALSE), 1)</f>
        <v>1.7371238884350156E-2</v>
      </c>
      <c r="T15" s="7">
        <f>$B15 * IFERROR(VLOOKUP("buildings|SO2|Work loss days", US_national_yearly!$D:$AM, 28, FALSE) / VLOOKUP("buildings|SO2|Work loss days", US_national_yearly!$D:$AM, 10, FALSE), 1)</f>
        <v>1.7508470432099084E-2</v>
      </c>
      <c r="U15" s="7">
        <f>$B15 * IFERROR(VLOOKUP("buildings|SO2|Work loss days", US_national_yearly!$D:$AM, 29, FALSE) / VLOOKUP("buildings|SO2|Work loss days", US_national_yearly!$D:$AM, 10, FALSE), 1)</f>
        <v>1.7645701979848012E-2</v>
      </c>
      <c r="V15" s="7">
        <f>$B15 * IFERROR(VLOOKUP("buildings|SO2|Work loss days", US_national_yearly!$D:$AM, 30, FALSE) / VLOOKUP("buildings|SO2|Work loss days", US_national_yearly!$D:$AM, 10, FALSE), 1)</f>
        <v>1.7782933527596936E-2</v>
      </c>
      <c r="W15" s="7">
        <f>$B15 * IFERROR(VLOOKUP("buildings|SO2|Work loss days", US_national_yearly!$D:$AM, 31, FALSE) / VLOOKUP("buildings|SO2|Work loss days", US_national_yearly!$D:$AM, 10, FALSE), 1)</f>
        <v>1.7920165075345867E-2</v>
      </c>
      <c r="X15" s="7">
        <f>$B15 * IFERROR(VLOOKUP("buildings|SO2|Work loss days", US_national_yearly!$D:$AM, 32, FALSE) / VLOOKUP("buildings|SO2|Work loss days", US_national_yearly!$D:$AM, 10, FALSE), 1)</f>
        <v>1.8043382829199855E-2</v>
      </c>
      <c r="Y15" s="7">
        <f>$B15 * IFERROR(VLOOKUP("buildings|SO2|Work loss days", US_national_yearly!$D:$AM, 33, FALSE) / VLOOKUP("buildings|SO2|Work loss days", US_national_yearly!$D:$AM, 10, FALSE), 1)</f>
        <v>1.8166600583053843E-2</v>
      </c>
      <c r="Z15" s="7">
        <f>$B15 * IFERROR(VLOOKUP("buildings|SO2|Work loss days", US_national_yearly!$D:$AM, 34, FALSE) / VLOOKUP("buildings|SO2|Work loss days", US_national_yearly!$D:$AM, 10, FALSE), 1)</f>
        <v>1.8289818336907827E-2</v>
      </c>
      <c r="AA15" s="7">
        <f>$B15 * IFERROR(VLOOKUP("buildings|SO2|Work loss days", US_national_yearly!$D:$AM, 35, FALSE) / VLOOKUP("buildings|SO2|Work loss days", US_national_yearly!$D:$AM, 10, FALSE), 1)</f>
        <v>1.8413036090761815E-2</v>
      </c>
      <c r="AB15" s="7">
        <f>$B15 * IFERROR(VLOOKUP("buildings|SO2|Work loss days", US_national_yearly!$D:$AM, 36, FALSE) / VLOOKUP("buildings|SO2|Work loss days", US_national_yearly!$D:$AM, 10, FALSE), 1)</f>
        <v>1.85362538446158E-2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2.5958685857676731E-5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2.6743919452256991E-5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2.7529153046837248E-5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2.8314386641417511E-5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2.9099620235997772E-5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2.9851826985128736E-5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3.0604033734259696E-5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3.1248673402964016E-5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3.1893313071668322E-5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3.2537952740372642E-5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3.3182592409076955E-5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3.3827232077781261E-5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3.4260094696020272E-5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3.469295731425929E-5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3.5125819932498301E-5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3.5558682550737305E-5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3.5991545168976316E-5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3.6219178475806467E-5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3.6446811782636618E-5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3.6674445089466763E-5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3.6902078396296914E-5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3.7129711703127059E-5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3.7282567980392922E-5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3.7435424257658779E-5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3.7588280534924643E-5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3.7741136812190507E-5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3.7893993089456363E-5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1.9302122779335995E-3</v>
      </c>
      <c r="C2" s="7">
        <f>$B2 * IFERROR(VLOOKUP("industry|PM25|Premature mortality", US_national_yearly!$D:$AM, 11, FALSE) / VLOOKUP("industry|PM25|Premature mortality", US_national_yearly!$D:$AM, 10, FALSE), 1)</f>
        <v>1.9542497285238761E-3</v>
      </c>
      <c r="D2" s="7">
        <f>$B2 * IFERROR(VLOOKUP("industry|PM25|Premature mortality", US_national_yearly!$D:$AM, 12, FALSE) / VLOOKUP("industry|PM25|Premature mortality", US_national_yearly!$D:$AM, 10, FALSE), 1)</f>
        <v>1.9782871791141523E-3</v>
      </c>
      <c r="E2" s="7">
        <f>$B2 * IFERROR(VLOOKUP("industry|PM25|Premature mortality", US_national_yearly!$D:$AM, 13, FALSE) / VLOOKUP("industry|PM25|Premature mortality", US_national_yearly!$D:$AM, 10, FALSE), 1)</f>
        <v>2.0023246297044286E-3</v>
      </c>
      <c r="F2" s="7">
        <f>$B2 * IFERROR(VLOOKUP("industry|PM25|Premature mortality", US_national_yearly!$D:$AM, 14, FALSE) / VLOOKUP("industry|PM25|Premature mortality", US_national_yearly!$D:$AM, 10, FALSE), 1)</f>
        <v>2.0263620802947048E-3</v>
      </c>
      <c r="G2" s="7">
        <f>$B2 * IFERROR(VLOOKUP("industry|PM25|Premature mortality", US_national_yearly!$D:$AM, 15, FALSE) / VLOOKUP("industry|PM25|Premature mortality", US_national_yearly!$D:$AM, 10, FALSE), 1)</f>
        <v>2.0731265670576597E-3</v>
      </c>
      <c r="H2" s="7">
        <f>$B2 * IFERROR(VLOOKUP("industry|PM25|Premature mortality", US_national_yearly!$D:$AM, 16, FALSE) / VLOOKUP("industry|PM25|Premature mortality", US_national_yearly!$D:$AM, 10, FALSE), 1)</f>
        <v>2.1198910538206151E-3</v>
      </c>
      <c r="I2" s="7">
        <f>$B2 * IFERROR(VLOOKUP("industry|PM25|Premature mortality", US_national_yearly!$D:$AM, 17, FALSE) / VLOOKUP("industry|PM25|Premature mortality", US_national_yearly!$D:$AM, 10, FALSE), 1)</f>
        <v>2.1507694889698935E-3</v>
      </c>
      <c r="J2" s="7">
        <f>$B2 * IFERROR(VLOOKUP("industry|PM25|Premature mortality", US_national_yearly!$D:$AM, 18, FALSE) / VLOOKUP("industry|PM25|Premature mortality", US_national_yearly!$D:$AM, 10, FALSE), 1)</f>
        <v>2.1816479241191715E-3</v>
      </c>
      <c r="K2" s="7">
        <f>$B2 * IFERROR(VLOOKUP("industry|PM25|Premature mortality", US_national_yearly!$D:$AM, 19, FALSE) / VLOOKUP("industry|PM25|Premature mortality", US_national_yearly!$D:$AM, 10, FALSE), 1)</f>
        <v>2.2125263592684494E-3</v>
      </c>
      <c r="L2" s="7">
        <f>$B2 * IFERROR(VLOOKUP("industry|PM25|Premature mortality", US_national_yearly!$D:$AM, 20, FALSE) / VLOOKUP("industry|PM25|Premature mortality", US_national_yearly!$D:$AM, 10, FALSE), 1)</f>
        <v>2.2434047944177274E-3</v>
      </c>
      <c r="M2" s="7">
        <f>$B2 * IFERROR(VLOOKUP("industry|PM25|Premature mortality", US_national_yearly!$D:$AM, 21, FALSE) / VLOOKUP("industry|PM25|Premature mortality", US_national_yearly!$D:$AM, 10, FALSE), 1)</f>
        <v>2.2742832295670062E-3</v>
      </c>
      <c r="N2" s="7">
        <f>$B2 * IFERROR(VLOOKUP("industry|PM25|Premature mortality", US_national_yearly!$D:$AM, 22, FALSE) / VLOOKUP("industry|PM25|Premature mortality", US_national_yearly!$D:$AM, 10, FALSE), 1)</f>
        <v>2.2983401705577102E-3</v>
      </c>
      <c r="O2" s="7">
        <f>$B2 * IFERROR(VLOOKUP("industry|PM25|Premature mortality", US_national_yearly!$D:$AM, 23, FALSE) / VLOOKUP("industry|PM25|Premature mortality", US_national_yearly!$D:$AM, 10, FALSE), 1)</f>
        <v>2.3223971115484141E-3</v>
      </c>
      <c r="P2" s="7">
        <f>$B2 * IFERROR(VLOOKUP("industry|PM25|Premature mortality", US_national_yearly!$D:$AM, 24, FALSE) / VLOOKUP("industry|PM25|Premature mortality", US_national_yearly!$D:$AM, 10, FALSE), 1)</f>
        <v>2.346454052539118E-3</v>
      </c>
      <c r="Q2" s="7">
        <f>$B2 * IFERROR(VLOOKUP("industry|PM25|Premature mortality", US_national_yearly!$D:$AM, 25, FALSE) / VLOOKUP("industry|PM25|Premature mortality", US_national_yearly!$D:$AM, 10, FALSE), 1)</f>
        <v>2.3705109935298224E-3</v>
      </c>
      <c r="R2" s="7">
        <f>$B2 * IFERROR(VLOOKUP("industry|PM25|Premature mortality", US_national_yearly!$D:$AM, 26, FALSE) / VLOOKUP("industry|PM25|Premature mortality", US_national_yearly!$D:$AM, 10, FALSE), 1)</f>
        <v>2.3945679345205259E-3</v>
      </c>
      <c r="S2" s="7">
        <f>$B2 * IFERROR(VLOOKUP("industry|PM25|Premature mortality", US_national_yearly!$D:$AM, 27, FALSE) / VLOOKUP("industry|PM25|Premature mortality", US_national_yearly!$D:$AM, 10, FALSE), 1)</f>
        <v>2.4075577903902193E-3</v>
      </c>
      <c r="T2" s="7">
        <f>$B2 * IFERROR(VLOOKUP("industry|PM25|Premature mortality", US_national_yearly!$D:$AM, 28, FALSE) / VLOOKUP("industry|PM25|Premature mortality", US_national_yearly!$D:$AM, 10, FALSE), 1)</f>
        <v>2.4205476462599127E-3</v>
      </c>
      <c r="U2" s="7">
        <f>$B2 * IFERROR(VLOOKUP("industry|PM25|Premature mortality", US_national_yearly!$D:$AM, 29, FALSE) / VLOOKUP("industry|PM25|Premature mortality", US_national_yearly!$D:$AM, 10, FALSE), 1)</f>
        <v>2.4335375021296069E-3</v>
      </c>
      <c r="V2" s="7">
        <f>$B2 * IFERROR(VLOOKUP("industry|PM25|Premature mortality", US_national_yearly!$D:$AM, 30, FALSE) / VLOOKUP("industry|PM25|Premature mortality", US_national_yearly!$D:$AM, 10, FALSE), 1)</f>
        <v>2.4465273579992999E-3</v>
      </c>
      <c r="W2" s="7">
        <f>$B2 * IFERROR(VLOOKUP("industry|PM25|Premature mortality", US_national_yearly!$D:$AM, 31, FALSE) / VLOOKUP("industry|PM25|Premature mortality", US_national_yearly!$D:$AM, 10, FALSE), 1)</f>
        <v>2.4595172138689933E-3</v>
      </c>
      <c r="X2" s="7">
        <f>$B2 * IFERROR(VLOOKUP("industry|PM25|Premature mortality", US_national_yearly!$D:$AM, 32, FALSE) / VLOOKUP("industry|PM25|Premature mortality", US_national_yearly!$D:$AM, 10, FALSE), 1)</f>
        <v>2.4621991638032869E-3</v>
      </c>
      <c r="Y2" s="7">
        <f>$B2 * IFERROR(VLOOKUP("industry|PM25|Premature mortality", US_national_yearly!$D:$AM, 33, FALSE) / VLOOKUP("industry|PM25|Premature mortality", US_national_yearly!$D:$AM, 10, FALSE), 1)</f>
        <v>2.4648811137375822E-3</v>
      </c>
      <c r="Z2" s="7">
        <f>$B2 * IFERROR(VLOOKUP("industry|PM25|Premature mortality", US_national_yearly!$D:$AM, 34, FALSE) / VLOOKUP("industry|PM25|Premature mortality", US_national_yearly!$D:$AM, 10, FALSE), 1)</f>
        <v>2.4675630636718758E-3</v>
      </c>
      <c r="AA2" s="7">
        <f>$B2 * IFERROR(VLOOKUP("industry|PM25|Premature mortality", US_national_yearly!$D:$AM, 35, FALSE) / VLOOKUP("industry|PM25|Premature mortality", US_national_yearly!$D:$AM, 10, FALSE), 1)</f>
        <v>2.4702450136061703E-3</v>
      </c>
      <c r="AB2" s="7">
        <f>$B2 * IFERROR(VLOOKUP("industry|PM25|Premature mortality", US_national_yearly!$D:$AM, 36, FALSE) / VLOOKUP("industry|PM25|Premature mortality", US_national_yearly!$D:$AM, 10, FALSE), 1)</f>
        <v>2.4729269635404643E-3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4.0018231463611226E-6</v>
      </c>
      <c r="C3" s="7">
        <f>$B3 * IFERROR(VLOOKUP("industry|PM25|Infant mortality", US_national_yearly!$D:$AM, 11, FALSE) / VLOOKUP("industry|PM25|Infant mortality", US_national_yearly!$D:$AM, 10, FALSE), 1)</f>
        <v>3.9669798771048873E-6</v>
      </c>
      <c r="D3" s="7">
        <f>$B3 * IFERROR(VLOOKUP("industry|PM25|Infant mortality", US_national_yearly!$D:$AM, 12, FALSE) / VLOOKUP("industry|PM25|Infant mortality", US_national_yearly!$D:$AM, 10, FALSE), 1)</f>
        <v>3.932136607848652E-6</v>
      </c>
      <c r="E3" s="7">
        <f>$B3 * IFERROR(VLOOKUP("industry|PM25|Infant mortality", US_national_yearly!$D:$AM, 13, FALSE) / VLOOKUP("industry|PM25|Infant mortality", US_national_yearly!$D:$AM, 10, FALSE), 1)</f>
        <v>3.8972933385924158E-6</v>
      </c>
      <c r="F3" s="7">
        <f>$B3 * IFERROR(VLOOKUP("industry|PM25|Infant mortality", US_national_yearly!$D:$AM, 14, FALSE) / VLOOKUP("industry|PM25|Infant mortality", US_national_yearly!$D:$AM, 10, FALSE), 1)</f>
        <v>3.8624500693361805E-6</v>
      </c>
      <c r="G3" s="7">
        <f>$B3 * IFERROR(VLOOKUP("industry|PM25|Infant mortality", US_national_yearly!$D:$AM, 15, FALSE) / VLOOKUP("industry|PM25|Infant mortality", US_national_yearly!$D:$AM, 10, FALSE), 1)</f>
        <v>2.5663470233362233E-6</v>
      </c>
      <c r="H3" s="7">
        <f>$B3 * IFERROR(VLOOKUP("industry|PM25|Infant mortality", US_national_yearly!$D:$AM, 16, FALSE) / VLOOKUP("industry|PM25|Infant mortality", US_national_yearly!$D:$AM, 10, FALSE), 1)</f>
        <v>1.2702439773362663E-6</v>
      </c>
      <c r="I3" s="7">
        <f>$B3 * IFERROR(VLOOKUP("industry|PM25|Infant mortality", US_national_yearly!$D:$AM, 17, FALSE) / VLOOKUP("industry|PM25|Infant mortality", US_national_yearly!$D:$AM, 10, FALSE), 1)</f>
        <v>1.2617892508084668E-6</v>
      </c>
      <c r="J3" s="7">
        <f>$B3 * IFERROR(VLOOKUP("industry|PM25|Infant mortality", US_national_yearly!$D:$AM, 18, FALSE) / VLOOKUP("industry|PM25|Infant mortality", US_national_yearly!$D:$AM, 10, FALSE), 1)</f>
        <v>1.2533345242806671E-6</v>
      </c>
      <c r="K3" s="7">
        <f>$B3 * IFERROR(VLOOKUP("industry|PM25|Infant mortality", US_national_yearly!$D:$AM, 19, FALSE) / VLOOKUP("industry|PM25|Infant mortality", US_national_yearly!$D:$AM, 10, FALSE), 1)</f>
        <v>1.2448797977528677E-6</v>
      </c>
      <c r="L3" s="7">
        <f>$B3 * IFERROR(VLOOKUP("industry|PM25|Infant mortality", US_national_yearly!$D:$AM, 20, FALSE) / VLOOKUP("industry|PM25|Infant mortality", US_national_yearly!$D:$AM, 10, FALSE), 1)</f>
        <v>1.236425071225068E-6</v>
      </c>
      <c r="M3" s="7">
        <f>$B3 * IFERROR(VLOOKUP("industry|PM25|Infant mortality", US_national_yearly!$D:$AM, 21, FALSE) / VLOOKUP("industry|PM25|Infant mortality", US_national_yearly!$D:$AM, 10, FALSE), 1)</f>
        <v>1.2279703446972686E-6</v>
      </c>
      <c r="N3" s="7">
        <f>$B3 * IFERROR(VLOOKUP("industry|PM25|Infant mortality", US_national_yearly!$D:$AM, 22, FALSE) / VLOOKUP("industry|PM25|Infant mortality", US_national_yearly!$D:$AM, 10, FALSE), 1)</f>
        <v>1.2225754058585795E-6</v>
      </c>
      <c r="O3" s="7">
        <f>$B3 * IFERROR(VLOOKUP("industry|PM25|Infant mortality", US_national_yearly!$D:$AM, 23, FALSE) / VLOOKUP("industry|PM25|Infant mortality", US_national_yearly!$D:$AM, 10, FALSE), 1)</f>
        <v>1.2171804670198906E-6</v>
      </c>
      <c r="P3" s="7">
        <f>$B3 * IFERROR(VLOOKUP("industry|PM25|Infant mortality", US_national_yearly!$D:$AM, 24, FALSE) / VLOOKUP("industry|PM25|Infant mortality", US_national_yearly!$D:$AM, 10, FALSE), 1)</f>
        <v>1.211785528181202E-6</v>
      </c>
      <c r="Q3" s="7">
        <f>$B3 * IFERROR(VLOOKUP("industry|PM25|Infant mortality", US_national_yearly!$D:$AM, 25, FALSE) / VLOOKUP("industry|PM25|Infant mortality", US_national_yearly!$D:$AM, 10, FALSE), 1)</f>
        <v>1.2063905893425131E-6</v>
      </c>
      <c r="R3" s="7">
        <f>$B3 * IFERROR(VLOOKUP("industry|PM25|Infant mortality", US_national_yearly!$D:$AM, 26, FALSE) / VLOOKUP("industry|PM25|Infant mortality", US_national_yearly!$D:$AM, 10, FALSE), 1)</f>
        <v>1.2009956505038242E-6</v>
      </c>
      <c r="S3" s="7">
        <f>$B3 * IFERROR(VLOOKUP("industry|PM25|Infant mortality", US_national_yearly!$D:$AM, 27, FALSE) / VLOOKUP("industry|PM25|Infant mortality", US_national_yearly!$D:$AM, 10, FALSE), 1)</f>
        <v>1.1943603628432585E-6</v>
      </c>
      <c r="T3" s="7">
        <f>$B3 * IFERROR(VLOOKUP("industry|PM25|Infant mortality", US_national_yearly!$D:$AM, 28, FALSE) / VLOOKUP("industry|PM25|Infant mortality", US_national_yearly!$D:$AM, 10, FALSE), 1)</f>
        <v>1.1877250751826932E-6</v>
      </c>
      <c r="U3" s="7">
        <f>$B3 * IFERROR(VLOOKUP("industry|PM25|Infant mortality", US_national_yearly!$D:$AM, 29, FALSE) / VLOOKUP("industry|PM25|Infant mortality", US_national_yearly!$D:$AM, 10, FALSE), 1)</f>
        <v>1.1810897875221275E-6</v>
      </c>
      <c r="V3" s="7">
        <f>$B3 * IFERROR(VLOOKUP("industry|PM25|Infant mortality", US_national_yearly!$D:$AM, 30, FALSE) / VLOOKUP("industry|PM25|Infant mortality", US_national_yearly!$D:$AM, 10, FALSE), 1)</f>
        <v>1.1744544998615623E-6</v>
      </c>
      <c r="W3" s="7">
        <f>$B3 * IFERROR(VLOOKUP("industry|PM25|Infant mortality", US_national_yearly!$D:$AM, 31, FALSE) / VLOOKUP("industry|PM25|Infant mortality", US_national_yearly!$D:$AM, 10, FALSE), 1)</f>
        <v>1.1678192122009968E-6</v>
      </c>
      <c r="X3" s="7">
        <f>$B3 * IFERROR(VLOOKUP("industry|PM25|Infant mortality", US_national_yearly!$D:$AM, 32, FALSE) / VLOOKUP("industry|PM25|Infant mortality", US_national_yearly!$D:$AM, 10, FALSE), 1)</f>
        <v>1.1607285759111061E-6</v>
      </c>
      <c r="Y3" s="7">
        <f>$B3 * IFERROR(VLOOKUP("industry|PM25|Infant mortality", US_national_yearly!$D:$AM, 33, FALSE) / VLOOKUP("industry|PM25|Infant mortality", US_national_yearly!$D:$AM, 10, FALSE), 1)</f>
        <v>1.1536379396212154E-6</v>
      </c>
      <c r="Z3" s="7">
        <f>$B3 * IFERROR(VLOOKUP("industry|PM25|Infant mortality", US_national_yearly!$D:$AM, 34, FALSE) / VLOOKUP("industry|PM25|Infant mortality", US_national_yearly!$D:$AM, 10, FALSE), 1)</f>
        <v>1.1465473033313247E-6</v>
      </c>
      <c r="AA3" s="7">
        <f>$B3 * IFERROR(VLOOKUP("industry|PM25|Infant mortality", US_national_yearly!$D:$AM, 35, FALSE) / VLOOKUP("industry|PM25|Infant mortality", US_national_yearly!$D:$AM, 10, FALSE), 1)</f>
        <v>1.139456667041434E-6</v>
      </c>
      <c r="AB3" s="7">
        <f>$B3 * IFERROR(VLOOKUP("industry|PM25|Infant mortality", US_national_yearly!$D:$AM, 36, FALSE) / VLOOKUP("industry|PM25|Infant mortality", US_national_yearly!$D:$AM, 10, FALSE), 1)</f>
        <v>1.1323660307515431E-6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4.3943718120248443E-3</v>
      </c>
      <c r="C6" s="7">
        <f>$B6 * IFERROR(VLOOKUP("industry|PM25|Asthma symptoms cough", US_national_yearly!$D:$AM, 11, FALSE) / VLOOKUP("industry|PM25|Asthma symptoms cough", US_national_yearly!$D:$AM, 10, FALSE), 1)</f>
        <v>4.3943718120248443E-3</v>
      </c>
      <c r="D6" s="7">
        <f>$B6 * IFERROR(VLOOKUP("industry|PM25|Asthma symptoms cough", US_national_yearly!$D:$AM, 12, FALSE) / VLOOKUP("industry|PM25|Asthma symptoms cough", US_national_yearly!$D:$AM, 10, FALSE), 1)</f>
        <v>4.3943718120248443E-3</v>
      </c>
      <c r="E6" s="7">
        <f>$B6 * IFERROR(VLOOKUP("industry|PM25|Asthma symptoms cough", US_national_yearly!$D:$AM, 13, FALSE) / VLOOKUP("industry|PM25|Asthma symptoms cough", US_national_yearly!$D:$AM, 10, FALSE), 1)</f>
        <v>4.3943718120248443E-3</v>
      </c>
      <c r="F6" s="7">
        <f>$B6 * IFERROR(VLOOKUP("industry|PM25|Asthma symptoms cough", US_national_yearly!$D:$AM, 14, FALSE) / VLOOKUP("industry|PM25|Asthma symptoms cough", US_national_yearly!$D:$AM, 10, FALSE), 1)</f>
        <v>4.3943718120248443E-3</v>
      </c>
      <c r="G6" s="7">
        <f>$B6 * IFERROR(VLOOKUP("industry|PM25|Asthma symptoms cough", US_national_yearly!$D:$AM, 15, FALSE) / VLOOKUP("industry|PM25|Asthma symptoms cough", US_national_yearly!$D:$AM, 10, FALSE), 1)</f>
        <v>4.3943718120248443E-3</v>
      </c>
      <c r="H6" s="7">
        <f>$B6 * IFERROR(VLOOKUP("industry|PM25|Asthma symptoms cough", US_national_yearly!$D:$AM, 16, FALSE) / VLOOKUP("industry|PM25|Asthma symptoms cough", US_national_yearly!$D:$AM, 10, FALSE), 1)</f>
        <v>4.3943718120248443E-3</v>
      </c>
      <c r="I6" s="7">
        <f>$B6 * IFERROR(VLOOKUP("industry|PM25|Asthma symptoms cough", US_national_yearly!$D:$AM, 17, FALSE) / VLOOKUP("industry|PM25|Asthma symptoms cough", US_national_yearly!$D:$AM, 10, FALSE), 1)</f>
        <v>4.3943718120248443E-3</v>
      </c>
      <c r="J6" s="7">
        <f>$B6 * IFERROR(VLOOKUP("industry|PM25|Asthma symptoms cough", US_national_yearly!$D:$AM, 18, FALSE) / VLOOKUP("industry|PM25|Asthma symptoms cough", US_national_yearly!$D:$AM, 10, FALSE), 1)</f>
        <v>4.3943718120248443E-3</v>
      </c>
      <c r="K6" s="7">
        <f>$B6 * IFERROR(VLOOKUP("industry|PM25|Asthma symptoms cough", US_national_yearly!$D:$AM, 19, FALSE) / VLOOKUP("industry|PM25|Asthma symptoms cough", US_national_yearly!$D:$AM, 10, FALSE), 1)</f>
        <v>4.3943718120248443E-3</v>
      </c>
      <c r="L6" s="7">
        <f>$B6 * IFERROR(VLOOKUP("industry|PM25|Asthma symptoms cough", US_national_yearly!$D:$AM, 20, FALSE) / VLOOKUP("industry|PM25|Asthma symptoms cough", US_national_yearly!$D:$AM, 10, FALSE), 1)</f>
        <v>4.3943718120248443E-3</v>
      </c>
      <c r="M6" s="7">
        <f>$B6 * IFERROR(VLOOKUP("industry|PM25|Asthma symptoms cough", US_national_yearly!$D:$AM, 21, FALSE) / VLOOKUP("industry|PM25|Asthma symptoms cough", US_national_yearly!$D:$AM, 10, FALSE), 1)</f>
        <v>4.3943718120248443E-3</v>
      </c>
      <c r="N6" s="7">
        <f>$B6 * IFERROR(VLOOKUP("industry|PM25|Asthma symptoms cough", US_national_yearly!$D:$AM, 22, FALSE) / VLOOKUP("industry|PM25|Asthma symptoms cough", US_national_yearly!$D:$AM, 10, FALSE), 1)</f>
        <v>4.3943718120248443E-3</v>
      </c>
      <c r="O6" s="7">
        <f>$B6 * IFERROR(VLOOKUP("industry|PM25|Asthma symptoms cough", US_national_yearly!$D:$AM, 23, FALSE) / VLOOKUP("industry|PM25|Asthma symptoms cough", US_national_yearly!$D:$AM, 10, FALSE), 1)</f>
        <v>4.3943718120248443E-3</v>
      </c>
      <c r="P6" s="7">
        <f>$B6 * IFERROR(VLOOKUP("industry|PM25|Asthma symptoms cough", US_national_yearly!$D:$AM, 24, FALSE) / VLOOKUP("industry|PM25|Asthma symptoms cough", US_national_yearly!$D:$AM, 10, FALSE), 1)</f>
        <v>4.3943718120248443E-3</v>
      </c>
      <c r="Q6" s="7">
        <f>$B6 * IFERROR(VLOOKUP("industry|PM25|Asthma symptoms cough", US_national_yearly!$D:$AM, 25, FALSE) / VLOOKUP("industry|PM25|Asthma symptoms cough", US_national_yearly!$D:$AM, 10, FALSE), 1)</f>
        <v>4.3943718120248443E-3</v>
      </c>
      <c r="R6" s="7">
        <f>$B6 * IFERROR(VLOOKUP("industry|PM25|Asthma symptoms cough", US_national_yearly!$D:$AM, 26, FALSE) / VLOOKUP("industry|PM25|Asthma symptoms cough", US_national_yearly!$D:$AM, 10, FALSE), 1)</f>
        <v>4.3943718120248443E-3</v>
      </c>
      <c r="S6" s="7">
        <f>$B6 * IFERROR(VLOOKUP("industry|PM25|Asthma symptoms cough", US_national_yearly!$D:$AM, 27, FALSE) / VLOOKUP("industry|PM25|Asthma symptoms cough", US_national_yearly!$D:$AM, 10, FALSE), 1)</f>
        <v>4.3943718120248443E-3</v>
      </c>
      <c r="T6" s="7">
        <f>$B6 * IFERROR(VLOOKUP("industry|PM25|Asthma symptoms cough", US_national_yearly!$D:$AM, 28, FALSE) / VLOOKUP("industry|PM25|Asthma symptoms cough", US_national_yearly!$D:$AM, 10, FALSE), 1)</f>
        <v>4.3943718120248443E-3</v>
      </c>
      <c r="U6" s="7">
        <f>$B6 * IFERROR(VLOOKUP("industry|PM25|Asthma symptoms cough", US_national_yearly!$D:$AM, 29, FALSE) / VLOOKUP("industry|PM25|Asthma symptoms cough", US_national_yearly!$D:$AM, 10, FALSE), 1)</f>
        <v>4.3943718120248443E-3</v>
      </c>
      <c r="V6" s="7">
        <f>$B6 * IFERROR(VLOOKUP("industry|PM25|Asthma symptoms cough", US_national_yearly!$D:$AM, 30, FALSE) / VLOOKUP("industry|PM25|Asthma symptoms cough", US_national_yearly!$D:$AM, 10, FALSE), 1)</f>
        <v>4.3943718120248443E-3</v>
      </c>
      <c r="W6" s="7">
        <f>$B6 * IFERROR(VLOOKUP("industry|PM25|Asthma symptoms cough", US_national_yearly!$D:$AM, 31, FALSE) / VLOOKUP("industry|PM25|Asthma symptoms cough", US_national_yearly!$D:$AM, 10, FALSE), 1)</f>
        <v>4.3943718120248443E-3</v>
      </c>
      <c r="X6" s="7">
        <f>$B6 * IFERROR(VLOOKUP("industry|PM25|Asthma symptoms cough", US_national_yearly!$D:$AM, 32, FALSE) / VLOOKUP("industry|PM25|Asthma symptoms cough", US_national_yearly!$D:$AM, 10, FALSE), 1)</f>
        <v>4.3943718120248443E-3</v>
      </c>
      <c r="Y6" s="7">
        <f>$B6 * IFERROR(VLOOKUP("industry|PM25|Asthma symptoms cough", US_national_yearly!$D:$AM, 33, FALSE) / VLOOKUP("industry|PM25|Asthma symptoms cough", US_national_yearly!$D:$AM, 10, FALSE), 1)</f>
        <v>4.3943718120248443E-3</v>
      </c>
      <c r="Z6" s="7">
        <f>$B6 * IFERROR(VLOOKUP("industry|PM25|Asthma symptoms cough", US_national_yearly!$D:$AM, 34, FALSE) / VLOOKUP("industry|PM25|Asthma symptoms cough", US_national_yearly!$D:$AM, 10, FALSE), 1)</f>
        <v>4.3943718120248443E-3</v>
      </c>
      <c r="AA6" s="7">
        <f>$B6 * IFERROR(VLOOKUP("industry|PM25|Asthma symptoms cough", US_national_yearly!$D:$AM, 35, FALSE) / VLOOKUP("industry|PM25|Asthma symptoms cough", US_national_yearly!$D:$AM, 10, FALSE), 1)</f>
        <v>4.3943718120248443E-3</v>
      </c>
      <c r="AB6" s="7">
        <f>$B6 * IFERROR(VLOOKUP("industry|PM25|Asthma symptoms cough", US_national_yearly!$D:$AM, 36, FALSE) / VLOOKUP("industry|PM25|Asthma symptoms cough", US_national_yearly!$D:$AM, 10, FALSE), 1)</f>
        <v>4.3943718120248443E-3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5.9175796926115125E-3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5.9175796926115125E-3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5.9175796926115125E-3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5.9175796926115125E-3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5.9175796926115125E-3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5.9175796926115125E-3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5.9175796926115125E-3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5.9175796926115125E-3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5.9175796926115125E-3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5.9175796926115125E-3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5.9175796926115125E-3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5.9175796926115125E-3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5.9175796926115125E-3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5.9175796926115125E-3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5.9175796926115125E-3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5.9175796926115125E-3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5.9175796926115125E-3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5.9175796926115125E-3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5.9175796926115125E-3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5.9175796926115125E-3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5.9175796926115125E-3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5.9175796926115125E-3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5.9175796926115125E-3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5.9175796926115125E-3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5.9175796926115125E-3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5.9175796926115125E-3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5.9175796926115125E-3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9.0413427437466779E-3</v>
      </c>
      <c r="C8" s="7">
        <f>$B8 * IFERROR(VLOOKUP("industry|PM25|Asthma symptoms wheeze", US_national_yearly!$D:$AM, 11, FALSE) / VLOOKUP("industry|PM25|Asthma symptoms wheeze", US_national_yearly!$D:$AM, 10, FALSE), 1)</f>
        <v>9.0413427437466779E-3</v>
      </c>
      <c r="D8" s="7">
        <f>$B8 * IFERROR(VLOOKUP("industry|PM25|Asthma symptoms wheeze", US_national_yearly!$D:$AM, 12, FALSE) / VLOOKUP("industry|PM25|Asthma symptoms wheeze", US_national_yearly!$D:$AM, 10, FALSE), 1)</f>
        <v>9.0413427437466779E-3</v>
      </c>
      <c r="E8" s="7">
        <f>$B8 * IFERROR(VLOOKUP("industry|PM25|Asthma symptoms wheeze", US_national_yearly!$D:$AM, 13, FALSE) / VLOOKUP("industry|PM25|Asthma symptoms wheeze", US_national_yearly!$D:$AM, 10, FALSE), 1)</f>
        <v>9.0413427437466779E-3</v>
      </c>
      <c r="F8" s="7">
        <f>$B8 * IFERROR(VLOOKUP("industry|PM25|Asthma symptoms wheeze", US_national_yearly!$D:$AM, 14, FALSE) / VLOOKUP("industry|PM25|Asthma symptoms wheeze", US_national_yearly!$D:$AM, 10, FALSE), 1)</f>
        <v>9.0413427437466779E-3</v>
      </c>
      <c r="G8" s="7">
        <f>$B8 * IFERROR(VLOOKUP("industry|PM25|Asthma symptoms wheeze", US_national_yearly!$D:$AM, 15, FALSE) / VLOOKUP("industry|PM25|Asthma symptoms wheeze", US_national_yearly!$D:$AM, 10, FALSE), 1)</f>
        <v>9.0413427437466779E-3</v>
      </c>
      <c r="H8" s="7">
        <f>$B8 * IFERROR(VLOOKUP("industry|PM25|Asthma symptoms wheeze", US_national_yearly!$D:$AM, 16, FALSE) / VLOOKUP("industry|PM25|Asthma symptoms wheeze", US_national_yearly!$D:$AM, 10, FALSE), 1)</f>
        <v>9.0413427437466779E-3</v>
      </c>
      <c r="I8" s="7">
        <f>$B8 * IFERROR(VLOOKUP("industry|PM25|Asthma symptoms wheeze", US_national_yearly!$D:$AM, 17, FALSE) / VLOOKUP("industry|PM25|Asthma symptoms wheeze", US_national_yearly!$D:$AM, 10, FALSE), 1)</f>
        <v>9.0413427437466779E-3</v>
      </c>
      <c r="J8" s="7">
        <f>$B8 * IFERROR(VLOOKUP("industry|PM25|Asthma symptoms wheeze", US_national_yearly!$D:$AM, 18, FALSE) / VLOOKUP("industry|PM25|Asthma symptoms wheeze", US_national_yearly!$D:$AM, 10, FALSE), 1)</f>
        <v>9.0413427437466779E-3</v>
      </c>
      <c r="K8" s="7">
        <f>$B8 * IFERROR(VLOOKUP("industry|PM25|Asthma symptoms wheeze", US_national_yearly!$D:$AM, 19, FALSE) / VLOOKUP("industry|PM25|Asthma symptoms wheeze", US_national_yearly!$D:$AM, 10, FALSE), 1)</f>
        <v>9.0413427437466779E-3</v>
      </c>
      <c r="L8" s="7">
        <f>$B8 * IFERROR(VLOOKUP("industry|PM25|Asthma symptoms wheeze", US_national_yearly!$D:$AM, 20, FALSE) / VLOOKUP("industry|PM25|Asthma symptoms wheeze", US_national_yearly!$D:$AM, 10, FALSE), 1)</f>
        <v>9.0413427437466779E-3</v>
      </c>
      <c r="M8" s="7">
        <f>$B8 * IFERROR(VLOOKUP("industry|PM25|Asthma symptoms wheeze", US_national_yearly!$D:$AM, 21, FALSE) / VLOOKUP("industry|PM25|Asthma symptoms wheeze", US_national_yearly!$D:$AM, 10, FALSE), 1)</f>
        <v>9.0413427437466779E-3</v>
      </c>
      <c r="N8" s="7">
        <f>$B8 * IFERROR(VLOOKUP("industry|PM25|Asthma symptoms wheeze", US_national_yearly!$D:$AM, 22, FALSE) / VLOOKUP("industry|PM25|Asthma symptoms wheeze", US_national_yearly!$D:$AM, 10, FALSE), 1)</f>
        <v>9.0413427437466779E-3</v>
      </c>
      <c r="O8" s="7">
        <f>$B8 * IFERROR(VLOOKUP("industry|PM25|Asthma symptoms wheeze", US_national_yearly!$D:$AM, 23, FALSE) / VLOOKUP("industry|PM25|Asthma symptoms wheeze", US_national_yearly!$D:$AM, 10, FALSE), 1)</f>
        <v>9.0413427437466779E-3</v>
      </c>
      <c r="P8" s="7">
        <f>$B8 * IFERROR(VLOOKUP("industry|PM25|Asthma symptoms wheeze", US_national_yearly!$D:$AM, 24, FALSE) / VLOOKUP("industry|PM25|Asthma symptoms wheeze", US_national_yearly!$D:$AM, 10, FALSE), 1)</f>
        <v>9.0413427437466779E-3</v>
      </c>
      <c r="Q8" s="7">
        <f>$B8 * IFERROR(VLOOKUP("industry|PM25|Asthma symptoms wheeze", US_national_yearly!$D:$AM, 25, FALSE) / VLOOKUP("industry|PM25|Asthma symptoms wheeze", US_national_yearly!$D:$AM, 10, FALSE), 1)</f>
        <v>9.0413427437466779E-3</v>
      </c>
      <c r="R8" s="7">
        <f>$B8 * IFERROR(VLOOKUP("industry|PM25|Asthma symptoms wheeze", US_national_yearly!$D:$AM, 26, FALSE) / VLOOKUP("industry|PM25|Asthma symptoms wheeze", US_national_yearly!$D:$AM, 10, FALSE), 1)</f>
        <v>9.0413427437466779E-3</v>
      </c>
      <c r="S8" s="7">
        <f>$B8 * IFERROR(VLOOKUP("industry|PM25|Asthma symptoms wheeze", US_national_yearly!$D:$AM, 27, FALSE) / VLOOKUP("industry|PM25|Asthma symptoms wheeze", US_national_yearly!$D:$AM, 10, FALSE), 1)</f>
        <v>9.0413427437466779E-3</v>
      </c>
      <c r="T8" s="7">
        <f>$B8 * IFERROR(VLOOKUP("industry|PM25|Asthma symptoms wheeze", US_national_yearly!$D:$AM, 28, FALSE) / VLOOKUP("industry|PM25|Asthma symptoms wheeze", US_national_yearly!$D:$AM, 10, FALSE), 1)</f>
        <v>9.0413427437466779E-3</v>
      </c>
      <c r="U8" s="7">
        <f>$B8 * IFERROR(VLOOKUP("industry|PM25|Asthma symptoms wheeze", US_national_yearly!$D:$AM, 29, FALSE) / VLOOKUP("industry|PM25|Asthma symptoms wheeze", US_national_yearly!$D:$AM, 10, FALSE), 1)</f>
        <v>9.0413427437466779E-3</v>
      </c>
      <c r="V8" s="7">
        <f>$B8 * IFERROR(VLOOKUP("industry|PM25|Asthma symptoms wheeze", US_national_yearly!$D:$AM, 30, FALSE) / VLOOKUP("industry|PM25|Asthma symptoms wheeze", US_national_yearly!$D:$AM, 10, FALSE), 1)</f>
        <v>9.0413427437466779E-3</v>
      </c>
      <c r="W8" s="7">
        <f>$B8 * IFERROR(VLOOKUP("industry|PM25|Asthma symptoms wheeze", US_national_yearly!$D:$AM, 31, FALSE) / VLOOKUP("industry|PM25|Asthma symptoms wheeze", US_national_yearly!$D:$AM, 10, FALSE), 1)</f>
        <v>9.0413427437466779E-3</v>
      </c>
      <c r="X8" s="7">
        <f>$B8 * IFERROR(VLOOKUP("industry|PM25|Asthma symptoms wheeze", US_national_yearly!$D:$AM, 32, FALSE) / VLOOKUP("industry|PM25|Asthma symptoms wheeze", US_national_yearly!$D:$AM, 10, FALSE), 1)</f>
        <v>9.0413427437466779E-3</v>
      </c>
      <c r="Y8" s="7">
        <f>$B8 * IFERROR(VLOOKUP("industry|PM25|Asthma symptoms wheeze", US_national_yearly!$D:$AM, 33, FALSE) / VLOOKUP("industry|PM25|Asthma symptoms wheeze", US_national_yearly!$D:$AM, 10, FALSE), 1)</f>
        <v>9.0413427437466779E-3</v>
      </c>
      <c r="Z8" s="7">
        <f>$B8 * IFERROR(VLOOKUP("industry|PM25|Asthma symptoms wheeze", US_national_yearly!$D:$AM, 34, FALSE) / VLOOKUP("industry|PM25|Asthma symptoms wheeze", US_national_yearly!$D:$AM, 10, FALSE), 1)</f>
        <v>9.0413427437466779E-3</v>
      </c>
      <c r="AA8" s="7">
        <f>$B8 * IFERROR(VLOOKUP("industry|PM25|Asthma symptoms wheeze", US_national_yearly!$D:$AM, 35, FALSE) / VLOOKUP("industry|PM25|Asthma symptoms wheeze", US_national_yearly!$D:$AM, 10, FALSE), 1)</f>
        <v>9.0413427437466779E-3</v>
      </c>
      <c r="AB8" s="7">
        <f>$B8 * IFERROR(VLOOKUP("industry|PM25|Asthma symptoms wheeze", US_national_yearly!$D:$AM, 36, FALSE) / VLOOKUP("industry|PM25|Asthma symptoms wheeze", US_national_yearly!$D:$AM, 10, FALSE), 1)</f>
        <v>9.0413427437466779E-3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8.4141714521355094E-5</v>
      </c>
      <c r="C12" s="7">
        <f>$B12 * IFERROR(VLOOKUP("industry|PM25|Respiratory hospital admissions", US_national_yearly!$D:$AM, 11, FALSE) / VLOOKUP("industry|PM25|Respiratory hospital admissions", US_national_yearly!$D:$AM, 10, FALSE), 1)</f>
        <v>8.4619434461892024E-5</v>
      </c>
      <c r="D12" s="7">
        <f>$B12 * IFERROR(VLOOKUP("industry|PM25|Respiratory hospital admissions", US_national_yearly!$D:$AM, 12, FALSE) / VLOOKUP("industry|PM25|Respiratory hospital admissions", US_national_yearly!$D:$AM, 10, FALSE), 1)</f>
        <v>8.5097154402428941E-5</v>
      </c>
      <c r="E12" s="7">
        <f>$B12 * IFERROR(VLOOKUP("industry|PM25|Respiratory hospital admissions", US_national_yearly!$D:$AM, 13, FALSE) / VLOOKUP("industry|PM25|Respiratory hospital admissions", US_national_yearly!$D:$AM, 10, FALSE), 1)</f>
        <v>8.5574874342965872E-5</v>
      </c>
      <c r="F12" s="7">
        <f>$B12 * IFERROR(VLOOKUP("industry|PM25|Respiratory hospital admissions", US_national_yearly!$D:$AM, 14, FALSE) / VLOOKUP("industry|PM25|Respiratory hospital admissions", US_national_yearly!$D:$AM, 10, FALSE), 1)</f>
        <v>8.6052594283502815E-5</v>
      </c>
      <c r="G12" s="7">
        <f>$B12 * IFERROR(VLOOKUP("industry|PM25|Respiratory hospital admissions", US_national_yearly!$D:$AM, 15, FALSE) / VLOOKUP("industry|PM25|Respiratory hospital admissions", US_national_yearly!$D:$AM, 10, FALSE), 1)</f>
        <v>8.6569099647601196E-5</v>
      </c>
      <c r="H12" s="7">
        <f>$B12 * IFERROR(VLOOKUP("industry|PM25|Respiratory hospital admissions", US_national_yearly!$D:$AM, 16, FALSE) / VLOOKUP("industry|PM25|Respiratory hospital admissions", US_national_yearly!$D:$AM, 10, FALSE), 1)</f>
        <v>8.7085605011699591E-5</v>
      </c>
      <c r="I12" s="7">
        <f>$B12 * IFERROR(VLOOKUP("industry|PM25|Respiratory hospital admissions", US_national_yearly!$D:$AM, 17, FALSE) / VLOOKUP("industry|PM25|Respiratory hospital admissions", US_national_yearly!$D:$AM, 10, FALSE), 1)</f>
        <v>8.7575575329253179E-5</v>
      </c>
      <c r="J12" s="7">
        <f>$B12 * IFERROR(VLOOKUP("industry|PM25|Respiratory hospital admissions", US_national_yearly!$D:$AM, 18, FALSE) / VLOOKUP("industry|PM25|Respiratory hospital admissions", US_national_yearly!$D:$AM, 10, FALSE), 1)</f>
        <v>8.8065545646806768E-5</v>
      </c>
      <c r="K12" s="7">
        <f>$B12 * IFERROR(VLOOKUP("industry|PM25|Respiratory hospital admissions", US_national_yearly!$D:$AM, 19, FALSE) / VLOOKUP("industry|PM25|Respiratory hospital admissions", US_national_yearly!$D:$AM, 10, FALSE), 1)</f>
        <v>8.8555515964360343E-5</v>
      </c>
      <c r="L12" s="7">
        <f>$B12 * IFERROR(VLOOKUP("industry|PM25|Respiratory hospital admissions", US_national_yearly!$D:$AM, 20, FALSE) / VLOOKUP("industry|PM25|Respiratory hospital admissions", US_national_yearly!$D:$AM, 10, FALSE), 1)</f>
        <v>8.9045486281913932E-5</v>
      </c>
      <c r="M12" s="7">
        <f>$B12 * IFERROR(VLOOKUP("industry|PM25|Respiratory hospital admissions", US_national_yearly!$D:$AM, 21, FALSE) / VLOOKUP("industry|PM25|Respiratory hospital admissions", US_national_yearly!$D:$AM, 10, FALSE), 1)</f>
        <v>8.9535456599467521E-5</v>
      </c>
      <c r="N12" s="7">
        <f>$B12 * IFERROR(VLOOKUP("industry|PM25|Respiratory hospital admissions", US_national_yearly!$D:$AM, 22, FALSE) / VLOOKUP("industry|PM25|Respiratory hospital admissions", US_national_yearly!$D:$AM, 10, FALSE), 1)</f>
        <v>8.9881998879838248E-5</v>
      </c>
      <c r="O12" s="7">
        <f>$B12 * IFERROR(VLOOKUP("industry|PM25|Respiratory hospital admissions", US_national_yearly!$D:$AM, 23, FALSE) / VLOOKUP("industry|PM25|Respiratory hospital admissions", US_national_yearly!$D:$AM, 10, FALSE), 1)</f>
        <v>9.0228541160208961E-5</v>
      </c>
      <c r="P12" s="7">
        <f>$B12 * IFERROR(VLOOKUP("industry|PM25|Respiratory hospital admissions", US_national_yearly!$D:$AM, 24, FALSE) / VLOOKUP("industry|PM25|Respiratory hospital admissions", US_national_yearly!$D:$AM, 10, FALSE), 1)</f>
        <v>9.0575083440579701E-5</v>
      </c>
      <c r="Q12" s="7">
        <f>$B12 * IFERROR(VLOOKUP("industry|PM25|Respiratory hospital admissions", US_national_yearly!$D:$AM, 25, FALSE) / VLOOKUP("industry|PM25|Respiratory hospital admissions", US_national_yearly!$D:$AM, 10, FALSE), 1)</f>
        <v>9.0921625720950415E-5</v>
      </c>
      <c r="R12" s="7">
        <f>$B12 * IFERROR(VLOOKUP("industry|PM25|Respiratory hospital admissions", US_national_yearly!$D:$AM, 26, FALSE) / VLOOKUP("industry|PM25|Respiratory hospital admissions", US_national_yearly!$D:$AM, 10, FALSE), 1)</f>
        <v>9.1268168001321142E-5</v>
      </c>
      <c r="S12" s="7">
        <f>$B12 * IFERROR(VLOOKUP("industry|PM25|Respiratory hospital admissions", US_national_yearly!$D:$AM, 27, FALSE) / VLOOKUP("industry|PM25|Respiratory hospital admissions", US_national_yearly!$D:$AM, 10, FALSE), 1)</f>
        <v>9.1595018639492856E-5</v>
      </c>
      <c r="T12" s="7">
        <f>$B12 * IFERROR(VLOOKUP("industry|PM25|Respiratory hospital admissions", US_national_yearly!$D:$AM, 28, FALSE) / VLOOKUP("industry|PM25|Respiratory hospital admissions", US_national_yearly!$D:$AM, 10, FALSE), 1)</f>
        <v>9.1921869277664583E-5</v>
      </c>
      <c r="U12" s="7">
        <f>$B12 * IFERROR(VLOOKUP("industry|PM25|Respiratory hospital admissions", US_national_yearly!$D:$AM, 29, FALSE) / VLOOKUP("industry|PM25|Respiratory hospital admissions", US_national_yearly!$D:$AM, 10, FALSE), 1)</f>
        <v>9.2248719915836311E-5</v>
      </c>
      <c r="V12" s="7">
        <f>$B12 * IFERROR(VLOOKUP("industry|PM25|Respiratory hospital admissions", US_national_yearly!$D:$AM, 30, FALSE) / VLOOKUP("industry|PM25|Respiratory hospital admissions", US_national_yearly!$D:$AM, 10, FALSE), 1)</f>
        <v>9.2575570554008025E-5</v>
      </c>
      <c r="W12" s="7">
        <f>$B12 * IFERROR(VLOOKUP("industry|PM25|Respiratory hospital admissions", US_national_yearly!$D:$AM, 31, FALSE) / VLOOKUP("industry|PM25|Respiratory hospital admissions", US_national_yearly!$D:$AM, 10, FALSE), 1)</f>
        <v>9.2902421192179766E-5</v>
      </c>
      <c r="X12" s="7">
        <f>$B12 * IFERROR(VLOOKUP("industry|PM25|Respiratory hospital admissions", US_national_yearly!$D:$AM, 32, FALSE) / VLOOKUP("industry|PM25|Respiratory hospital admissions", US_national_yearly!$D:$AM, 10, FALSE), 1)</f>
        <v>9.3217130837152675E-5</v>
      </c>
      <c r="Y12" s="7">
        <f>$B12 * IFERROR(VLOOKUP("industry|PM25|Respiratory hospital admissions", US_national_yearly!$D:$AM, 33, FALSE) / VLOOKUP("industry|PM25|Respiratory hospital admissions", US_national_yearly!$D:$AM, 10, FALSE), 1)</f>
        <v>9.3531840482125571E-5</v>
      </c>
      <c r="Z12" s="7">
        <f>$B12 * IFERROR(VLOOKUP("industry|PM25|Respiratory hospital admissions", US_national_yearly!$D:$AM, 34, FALSE) / VLOOKUP("industry|PM25|Respiratory hospital admissions", US_national_yearly!$D:$AM, 10, FALSE), 1)</f>
        <v>9.3846550127098507E-5</v>
      </c>
      <c r="AA12" s="7">
        <f>$B12 * IFERROR(VLOOKUP("industry|PM25|Respiratory hospital admissions", US_national_yearly!$D:$AM, 35, FALSE) / VLOOKUP("industry|PM25|Respiratory hospital admissions", US_national_yearly!$D:$AM, 10, FALSE), 1)</f>
        <v>9.416125977207143E-5</v>
      </c>
      <c r="AB12" s="7">
        <f>$B12 * IFERROR(VLOOKUP("industry|PM25|Respiratory hospital admissions", US_national_yearly!$D:$AM, 36, FALSE) / VLOOKUP("industry|PM25|Respiratory hospital admissions", US_national_yearly!$D:$AM, 10, FALSE), 1)</f>
        <v>9.4475969417044339E-5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1.2471991231031347E-4</v>
      </c>
      <c r="C13" s="7">
        <f>$B13 * IFERROR(VLOOKUP("industry|PM25|Non-fatal heart attacks", US_national_yearly!$D:$AM, 11, FALSE) / VLOOKUP("industry|PM25|Non-fatal heart attacks", US_national_yearly!$D:$AM, 10, FALSE), 1)</f>
        <v>1.2835054165996509E-4</v>
      </c>
      <c r="D13" s="7">
        <f>$B13 * IFERROR(VLOOKUP("industry|PM25|Non-fatal heart attacks", US_national_yearly!$D:$AM, 12, FALSE) / VLOOKUP("industry|PM25|Non-fatal heart attacks", US_national_yearly!$D:$AM, 10, FALSE), 1)</f>
        <v>1.3198117100961666E-4</v>
      </c>
      <c r="E13" s="7">
        <f>$B13 * IFERROR(VLOOKUP("industry|PM25|Non-fatal heart attacks", US_national_yearly!$D:$AM, 13, FALSE) / VLOOKUP("industry|PM25|Non-fatal heart attacks", US_national_yearly!$D:$AM, 10, FALSE), 1)</f>
        <v>1.3561180035926828E-4</v>
      </c>
      <c r="F13" s="7">
        <f>$B13 * IFERROR(VLOOKUP("industry|PM25|Non-fatal heart attacks", US_national_yearly!$D:$AM, 14, FALSE) / VLOOKUP("industry|PM25|Non-fatal heart attacks", US_national_yearly!$D:$AM, 10, FALSE), 1)</f>
        <v>1.392424297089199E-4</v>
      </c>
      <c r="G13" s="7">
        <f>$B13 * IFERROR(VLOOKUP("industry|PM25|Non-fatal heart attacks", US_national_yearly!$D:$AM, 15, FALSE) / VLOOKUP("industry|PM25|Non-fatal heart attacks", US_national_yearly!$D:$AM, 10, FALSE), 1)</f>
        <v>1.4266999909626132E-4</v>
      </c>
      <c r="H13" s="7">
        <f>$B13 * IFERROR(VLOOKUP("industry|PM25|Non-fatal heart attacks", US_national_yearly!$D:$AM, 16, FALSE) / VLOOKUP("industry|PM25|Non-fatal heart attacks", US_national_yearly!$D:$AM, 10, FALSE), 1)</f>
        <v>1.4609756848360278E-4</v>
      </c>
      <c r="I13" s="7">
        <f>$B13 * IFERROR(VLOOKUP("industry|PM25|Non-fatal heart attacks", US_national_yearly!$D:$AM, 17, FALSE) / VLOOKUP("industry|PM25|Non-fatal heart attacks", US_national_yearly!$D:$AM, 10, FALSE), 1)</f>
        <v>1.4886536241828072E-4</v>
      </c>
      <c r="J13" s="7">
        <f>$B13 * IFERROR(VLOOKUP("industry|PM25|Non-fatal heart attacks", US_national_yearly!$D:$AM, 18, FALSE) / VLOOKUP("industry|PM25|Non-fatal heart attacks", US_national_yearly!$D:$AM, 10, FALSE), 1)</f>
        <v>1.5163315635295863E-4</v>
      </c>
      <c r="K13" s="7">
        <f>$B13 * IFERROR(VLOOKUP("industry|PM25|Non-fatal heart attacks", US_national_yearly!$D:$AM, 19, FALSE) / VLOOKUP("industry|PM25|Non-fatal heart attacks", US_national_yearly!$D:$AM, 10, FALSE), 1)</f>
        <v>1.5440095028763654E-4</v>
      </c>
      <c r="L13" s="7">
        <f>$B13 * IFERROR(VLOOKUP("industry|PM25|Non-fatal heart attacks", US_national_yearly!$D:$AM, 20, FALSE) / VLOOKUP("industry|PM25|Non-fatal heart attacks", US_national_yearly!$D:$AM, 10, FALSE), 1)</f>
        <v>1.5716874422231443E-4</v>
      </c>
      <c r="M13" s="7">
        <f>$B13 * IFERROR(VLOOKUP("industry|PM25|Non-fatal heart attacks", US_national_yearly!$D:$AM, 21, FALSE) / VLOOKUP("industry|PM25|Non-fatal heart attacks", US_national_yearly!$D:$AM, 10, FALSE), 1)</f>
        <v>1.5993653815699234E-4</v>
      </c>
      <c r="N13" s="7">
        <f>$B13 * IFERROR(VLOOKUP("industry|PM25|Non-fatal heart attacks", US_national_yearly!$D:$AM, 22, FALSE) / VLOOKUP("industry|PM25|Non-fatal heart attacks", US_national_yearly!$D:$AM, 10, FALSE), 1)</f>
        <v>1.6172607107676893E-4</v>
      </c>
      <c r="O13" s="7">
        <f>$B13 * IFERROR(VLOOKUP("industry|PM25|Non-fatal heart attacks", US_national_yearly!$D:$AM, 23, FALSE) / VLOOKUP("industry|PM25|Non-fatal heart attacks", US_national_yearly!$D:$AM, 10, FALSE), 1)</f>
        <v>1.635156039965455E-4</v>
      </c>
      <c r="P13" s="7">
        <f>$B13 * IFERROR(VLOOKUP("industry|PM25|Non-fatal heart attacks", US_national_yearly!$D:$AM, 24, FALSE) / VLOOKUP("industry|PM25|Non-fatal heart attacks", US_national_yearly!$D:$AM, 10, FALSE), 1)</f>
        <v>1.6530513691632209E-4</v>
      </c>
      <c r="Q13" s="7">
        <f>$B13 * IFERROR(VLOOKUP("industry|PM25|Non-fatal heart attacks", US_national_yearly!$D:$AM, 25, FALSE) / VLOOKUP("industry|PM25|Non-fatal heart attacks", US_national_yearly!$D:$AM, 10, FALSE), 1)</f>
        <v>1.6709466983609863E-4</v>
      </c>
      <c r="R13" s="7">
        <f>$B13 * IFERROR(VLOOKUP("industry|PM25|Non-fatal heart attacks", US_national_yearly!$D:$AM, 26, FALSE) / VLOOKUP("industry|PM25|Non-fatal heart attacks", US_national_yearly!$D:$AM, 10, FALSE), 1)</f>
        <v>1.6888420275587522E-4</v>
      </c>
      <c r="S13" s="7">
        <f>$B13 * IFERROR(VLOOKUP("industry|PM25|Non-fatal heart attacks", US_national_yearly!$D:$AM, 27, FALSE) / VLOOKUP("industry|PM25|Non-fatal heart attacks", US_national_yearly!$D:$AM, 10, FALSE), 1)</f>
        <v>1.6983999907003002E-4</v>
      </c>
      <c r="T13" s="7">
        <f>$B13 * IFERROR(VLOOKUP("industry|PM25|Non-fatal heart attacks", US_national_yearly!$D:$AM, 28, FALSE) / VLOOKUP("industry|PM25|Non-fatal heart attacks", US_national_yearly!$D:$AM, 10, FALSE), 1)</f>
        <v>1.7079579538418485E-4</v>
      </c>
      <c r="U13" s="7">
        <f>$B13 * IFERROR(VLOOKUP("industry|PM25|Non-fatal heart attacks", US_national_yearly!$D:$AM, 29, FALSE) / VLOOKUP("industry|PM25|Non-fatal heart attacks", US_national_yearly!$D:$AM, 10, FALSE), 1)</f>
        <v>1.7175159169833967E-4</v>
      </c>
      <c r="V13" s="7">
        <f>$B13 * IFERROR(VLOOKUP("industry|PM25|Non-fatal heart attacks", US_national_yearly!$D:$AM, 30, FALSE) / VLOOKUP("industry|PM25|Non-fatal heart attacks", US_national_yearly!$D:$AM, 10, FALSE), 1)</f>
        <v>1.7270738801249447E-4</v>
      </c>
      <c r="W13" s="7">
        <f>$B13 * IFERROR(VLOOKUP("industry|PM25|Non-fatal heart attacks", US_national_yearly!$D:$AM, 31, FALSE) / VLOOKUP("industry|PM25|Non-fatal heart attacks", US_national_yearly!$D:$AM, 10, FALSE), 1)</f>
        <v>1.736631843266493E-4</v>
      </c>
      <c r="X13" s="7">
        <f>$B13 * IFERROR(VLOOKUP("industry|PM25|Non-fatal heart attacks", US_national_yearly!$D:$AM, 32, FALSE) / VLOOKUP("industry|PM25|Non-fatal heart attacks", US_national_yearly!$D:$AM, 10, FALSE), 1)</f>
        <v>1.7440086175397995E-4</v>
      </c>
      <c r="Y13" s="7">
        <f>$B13 * IFERROR(VLOOKUP("industry|PM25|Non-fatal heart attacks", US_national_yearly!$D:$AM, 33, FALSE) / VLOOKUP("industry|PM25|Non-fatal heart attacks", US_national_yearly!$D:$AM, 10, FALSE), 1)</f>
        <v>1.7513853918131058E-4</v>
      </c>
      <c r="Z13" s="7">
        <f>$B13 * IFERROR(VLOOKUP("industry|PM25|Non-fatal heart attacks", US_national_yearly!$D:$AM, 34, FALSE) / VLOOKUP("industry|PM25|Non-fatal heart attacks", US_national_yearly!$D:$AM, 10, FALSE), 1)</f>
        <v>1.7587621660864126E-4</v>
      </c>
      <c r="AA13" s="7">
        <f>$B13 * IFERROR(VLOOKUP("industry|PM25|Non-fatal heart attacks", US_national_yearly!$D:$AM, 35, FALSE) / VLOOKUP("industry|PM25|Non-fatal heart attacks", US_national_yearly!$D:$AM, 10, FALSE), 1)</f>
        <v>1.7661389403597191E-4</v>
      </c>
      <c r="AB13" s="7">
        <f>$B13 * IFERROR(VLOOKUP("industry|PM25|Non-fatal heart attacks", US_national_yearly!$D:$AM, 36, FALSE) / VLOOKUP("industry|PM25|Non-fatal heart attacks", US_national_yearly!$D:$AM, 10, FALSE), 1)</f>
        <v>1.7735157146330256E-4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0.5400387483551059</v>
      </c>
      <c r="C14" s="7">
        <f>$B14 * IFERROR(VLOOKUP("industry|PM25|Minor restricted activity days", US_national_yearly!$D:$AM, 11, FALSE) / VLOOKUP("industry|PM25|Minor restricted activity days", US_national_yearly!$D:$AM, 10, FALSE), 1)</f>
        <v>0.54136139276437301</v>
      </c>
      <c r="D14" s="7">
        <f>$B14 * IFERROR(VLOOKUP("industry|PM25|Minor restricted activity days", US_national_yearly!$D:$AM, 12, FALSE) / VLOOKUP("industry|PM25|Minor restricted activity days", US_national_yearly!$D:$AM, 10, FALSE), 1)</f>
        <v>0.54268403717364033</v>
      </c>
      <c r="E14" s="7">
        <f>$B14 * IFERROR(VLOOKUP("industry|PM25|Minor restricted activity days", US_national_yearly!$D:$AM, 13, FALSE) / VLOOKUP("industry|PM25|Minor restricted activity days", US_national_yearly!$D:$AM, 10, FALSE), 1)</f>
        <v>0.54400668158290744</v>
      </c>
      <c r="F14" s="7">
        <f>$B14 * IFERROR(VLOOKUP("industry|PM25|Minor restricted activity days", US_national_yearly!$D:$AM, 14, FALSE) / VLOOKUP("industry|PM25|Minor restricted activity days", US_national_yearly!$D:$AM, 10, FALSE), 1)</f>
        <v>0.54532932599217454</v>
      </c>
      <c r="G14" s="7">
        <f>$B14 * IFERROR(VLOOKUP("industry|PM25|Minor restricted activity days", US_national_yearly!$D:$AM, 15, FALSE) / VLOOKUP("industry|PM25|Minor restricted activity days", US_national_yearly!$D:$AM, 10, FALSE), 1)</f>
        <v>0.54727075301734351</v>
      </c>
      <c r="H14" s="7">
        <f>$B14 * IFERROR(VLOOKUP("industry|PM25|Minor restricted activity days", US_national_yearly!$D:$AM, 16, FALSE) / VLOOKUP("industry|PM25|Minor restricted activity days", US_national_yearly!$D:$AM, 10, FALSE), 1)</f>
        <v>0.54921218004251238</v>
      </c>
      <c r="I14" s="7">
        <f>$B14 * IFERROR(VLOOKUP("industry|PM25|Minor restricted activity days", US_national_yearly!$D:$AM, 17, FALSE) / VLOOKUP("industry|PM25|Minor restricted activity days", US_national_yearly!$D:$AM, 10, FALSE), 1)</f>
        <v>0.55251016536416764</v>
      </c>
      <c r="J14" s="7">
        <f>$B14 * IFERROR(VLOOKUP("industry|PM25|Minor restricted activity days", US_national_yearly!$D:$AM, 18, FALSE) / VLOOKUP("industry|PM25|Minor restricted activity days", US_national_yearly!$D:$AM, 10, FALSE), 1)</f>
        <v>0.55580815068582301</v>
      </c>
      <c r="K14" s="7">
        <f>$B14 * IFERROR(VLOOKUP("industry|PM25|Minor restricted activity days", US_national_yearly!$D:$AM, 19, FALSE) / VLOOKUP("industry|PM25|Minor restricted activity days", US_national_yearly!$D:$AM, 10, FALSE), 1)</f>
        <v>0.55910613600747816</v>
      </c>
      <c r="L14" s="7">
        <f>$B14 * IFERROR(VLOOKUP("industry|PM25|Minor restricted activity days", US_national_yearly!$D:$AM, 20, FALSE) / VLOOKUP("industry|PM25|Minor restricted activity days", US_national_yearly!$D:$AM, 10, FALSE), 1)</f>
        <v>0.56240412132913331</v>
      </c>
      <c r="M14" s="7">
        <f>$B14 * IFERROR(VLOOKUP("industry|PM25|Minor restricted activity days", US_national_yearly!$D:$AM, 21, FALSE) / VLOOKUP("industry|PM25|Minor restricted activity days", US_national_yearly!$D:$AM, 10, FALSE), 1)</f>
        <v>0.56570210665078857</v>
      </c>
      <c r="N14" s="7">
        <f>$B14 * IFERROR(VLOOKUP("industry|PM25|Minor restricted activity days", US_national_yearly!$D:$AM, 22, FALSE) / VLOOKUP("industry|PM25|Minor restricted activity days", US_national_yearly!$D:$AM, 10, FALSE), 1)</f>
        <v>0.57020748024630796</v>
      </c>
      <c r="O14" s="7">
        <f>$B14 * IFERROR(VLOOKUP("industry|PM25|Minor restricted activity days", US_national_yearly!$D:$AM, 23, FALSE) / VLOOKUP("industry|PM25|Minor restricted activity days", US_national_yearly!$D:$AM, 10, FALSE), 1)</f>
        <v>0.5747128538418278</v>
      </c>
      <c r="P14" s="7">
        <f>$B14 * IFERROR(VLOOKUP("industry|PM25|Minor restricted activity days", US_national_yearly!$D:$AM, 24, FALSE) / VLOOKUP("industry|PM25|Minor restricted activity days", US_national_yearly!$D:$AM, 10, FALSE), 1)</f>
        <v>0.57921822743734719</v>
      </c>
      <c r="Q14" s="7">
        <f>$B14 * IFERROR(VLOOKUP("industry|PM25|Minor restricted activity days", US_national_yearly!$D:$AM, 25, FALSE) / VLOOKUP("industry|PM25|Minor restricted activity days", US_national_yearly!$D:$AM, 10, FALSE), 1)</f>
        <v>0.58372360103286725</v>
      </c>
      <c r="R14" s="7">
        <f>$B14 * IFERROR(VLOOKUP("industry|PM25|Minor restricted activity days", US_national_yearly!$D:$AM, 26, FALSE) / VLOOKUP("industry|PM25|Minor restricted activity days", US_national_yearly!$D:$AM, 10, FALSE), 1)</f>
        <v>0.58822897462838664</v>
      </c>
      <c r="S14" s="7">
        <f>$B14 * IFERROR(VLOOKUP("industry|PM25|Minor restricted activity days", US_national_yearly!$D:$AM, 27, FALSE) / VLOOKUP("industry|PM25|Minor restricted activity days", US_national_yearly!$D:$AM, 10, FALSE), 1)</f>
        <v>0.59277760157246129</v>
      </c>
      <c r="T14" s="7">
        <f>$B14 * IFERROR(VLOOKUP("industry|PM25|Minor restricted activity days", US_national_yearly!$D:$AM, 28, FALSE) / VLOOKUP("industry|PM25|Minor restricted activity days", US_national_yearly!$D:$AM, 10, FALSE), 1)</f>
        <v>0.59732622851653594</v>
      </c>
      <c r="U14" s="7">
        <f>$B14 * IFERROR(VLOOKUP("industry|PM25|Minor restricted activity days", US_national_yearly!$D:$AM, 29, FALSE) / VLOOKUP("industry|PM25|Minor restricted activity days", US_national_yearly!$D:$AM, 10, FALSE), 1)</f>
        <v>0.60187485546061059</v>
      </c>
      <c r="V14" s="7">
        <f>$B14 * IFERROR(VLOOKUP("industry|PM25|Minor restricted activity days", US_national_yearly!$D:$AM, 30, FALSE) / VLOOKUP("industry|PM25|Minor restricted activity days", US_national_yearly!$D:$AM, 10, FALSE), 1)</f>
        <v>0.60642348240468524</v>
      </c>
      <c r="W14" s="7">
        <f>$B14 * IFERROR(VLOOKUP("industry|PM25|Minor restricted activity days", US_national_yearly!$D:$AM, 31, FALSE) / VLOOKUP("industry|PM25|Minor restricted activity days", US_national_yearly!$D:$AM, 10, FALSE), 1)</f>
        <v>0.61097210934876001</v>
      </c>
      <c r="X14" s="7">
        <f>$B14 * IFERROR(VLOOKUP("industry|PM25|Minor restricted activity days", US_national_yearly!$D:$AM, 32, FALSE) / VLOOKUP("industry|PM25|Minor restricted activity days", US_national_yearly!$D:$AM, 10, FALSE), 1)</f>
        <v>0.61492469957889073</v>
      </c>
      <c r="Y14" s="7">
        <f>$B14 * IFERROR(VLOOKUP("industry|PM25|Minor restricted activity days", US_national_yearly!$D:$AM, 33, FALSE) / VLOOKUP("industry|PM25|Minor restricted activity days", US_national_yearly!$D:$AM, 10, FALSE), 1)</f>
        <v>0.61887728980902157</v>
      </c>
      <c r="Z14" s="7">
        <f>$B14 * IFERROR(VLOOKUP("industry|PM25|Minor restricted activity days", US_national_yearly!$D:$AM, 34, FALSE) / VLOOKUP("industry|PM25|Minor restricted activity days", US_national_yearly!$D:$AM, 10, FALSE), 1)</f>
        <v>0.62282988003915252</v>
      </c>
      <c r="AA14" s="7">
        <f>$B14 * IFERROR(VLOOKUP("industry|PM25|Minor restricted activity days", US_national_yearly!$D:$AM, 35, FALSE) / VLOOKUP("industry|PM25|Minor restricted activity days", US_national_yearly!$D:$AM, 10, FALSE), 1)</f>
        <v>0.62678247026928335</v>
      </c>
      <c r="AB14" s="7">
        <f>$B14 * IFERROR(VLOOKUP("industry|PM25|Minor restricted activity days", US_national_yearly!$D:$AM, 36, FALSE) / VLOOKUP("industry|PM25|Minor restricted activity days", US_national_yearly!$D:$AM, 10, FALSE), 1)</f>
        <v>0.63073506049941419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9.1453982609541212E-2</v>
      </c>
      <c r="C15" s="7">
        <f>$B15 * IFERROR(VLOOKUP("industry|PM25|Work loss days", US_national_yearly!$D:$AM, 11, FALSE) / VLOOKUP("industry|PM25|Work loss days", US_national_yearly!$D:$AM, 10, FALSE), 1)</f>
        <v>9.1737526674360526E-2</v>
      </c>
      <c r="D15" s="7">
        <f>$B15 * IFERROR(VLOOKUP("industry|PM25|Work loss days", US_national_yearly!$D:$AM, 12, FALSE) / VLOOKUP("industry|PM25|Work loss days", US_national_yearly!$D:$AM, 10, FALSE), 1)</f>
        <v>9.2021070739179825E-2</v>
      </c>
      <c r="E15" s="7">
        <f>$B15 * IFERROR(VLOOKUP("industry|PM25|Work loss days", US_national_yearly!$D:$AM, 13, FALSE) / VLOOKUP("industry|PM25|Work loss days", US_national_yearly!$D:$AM, 10, FALSE), 1)</f>
        <v>9.230461480399911E-2</v>
      </c>
      <c r="F15" s="7">
        <f>$B15 * IFERROR(VLOOKUP("industry|PM25|Work loss days", US_national_yearly!$D:$AM, 14, FALSE) / VLOOKUP("industry|PM25|Work loss days", US_national_yearly!$D:$AM, 10, FALSE), 1)</f>
        <v>9.2588158868818424E-2</v>
      </c>
      <c r="G15" s="7">
        <f>$B15 * IFERROR(VLOOKUP("industry|PM25|Work loss days", US_national_yearly!$D:$AM, 15, FALSE) / VLOOKUP("industry|PM25|Work loss days", US_national_yearly!$D:$AM, 10, FALSE), 1)</f>
        <v>9.2958338060372056E-2</v>
      </c>
      <c r="H15" s="7">
        <f>$B15 * IFERROR(VLOOKUP("industry|PM25|Work loss days", US_national_yearly!$D:$AM, 16, FALSE) / VLOOKUP("industry|PM25|Work loss days", US_national_yearly!$D:$AM, 10, FALSE), 1)</f>
        <v>9.3328517251925688E-2</v>
      </c>
      <c r="I15" s="7">
        <f>$B15 * IFERROR(VLOOKUP("industry|PM25|Work loss days", US_national_yearly!$D:$AM, 17, FALSE) / VLOOKUP("industry|PM25|Work loss days", US_national_yearly!$D:$AM, 10, FALSE), 1)</f>
        <v>9.3870577403002767E-2</v>
      </c>
      <c r="J15" s="7">
        <f>$B15 * IFERROR(VLOOKUP("industry|PM25|Work loss days", US_national_yearly!$D:$AM, 18, FALSE) / VLOOKUP("industry|PM25|Work loss days", US_national_yearly!$D:$AM, 10, FALSE), 1)</f>
        <v>9.4412637554079845E-2</v>
      </c>
      <c r="K15" s="7">
        <f>$B15 * IFERROR(VLOOKUP("industry|PM25|Work loss days", US_national_yearly!$D:$AM, 19, FALSE) / VLOOKUP("industry|PM25|Work loss days", US_national_yearly!$D:$AM, 10, FALSE), 1)</f>
        <v>9.495469770515691E-2</v>
      </c>
      <c r="L15" s="7">
        <f>$B15 * IFERROR(VLOOKUP("industry|PM25|Work loss days", US_national_yearly!$D:$AM, 20, FALSE) / VLOOKUP("industry|PM25|Work loss days", US_national_yearly!$D:$AM, 10, FALSE), 1)</f>
        <v>9.5496757856233988E-2</v>
      </c>
      <c r="M15" s="7">
        <f>$B15 * IFERROR(VLOOKUP("industry|PM25|Work loss days", US_national_yearly!$D:$AM, 21, FALSE) / VLOOKUP("industry|PM25|Work loss days", US_national_yearly!$D:$AM, 10, FALSE), 1)</f>
        <v>9.603881800731108E-2</v>
      </c>
      <c r="N15" s="7">
        <f>$B15 * IFERROR(VLOOKUP("industry|PM25|Work loss days", US_national_yearly!$D:$AM, 22, FALSE) / VLOOKUP("industry|PM25|Work loss days", US_national_yearly!$D:$AM, 10, FALSE), 1)</f>
        <v>9.6722826768300782E-2</v>
      </c>
      <c r="O15" s="7">
        <f>$B15 * IFERROR(VLOOKUP("industry|PM25|Work loss days", US_national_yearly!$D:$AM, 23, FALSE) / VLOOKUP("industry|PM25|Work loss days", US_national_yearly!$D:$AM, 10, FALSE), 1)</f>
        <v>9.7406835529290484E-2</v>
      </c>
      <c r="P15" s="7">
        <f>$B15 * IFERROR(VLOOKUP("industry|PM25|Work loss days", US_national_yearly!$D:$AM, 24, FALSE) / VLOOKUP("industry|PM25|Work loss days", US_national_yearly!$D:$AM, 10, FALSE), 1)</f>
        <v>9.8090844290280158E-2</v>
      </c>
      <c r="Q15" s="7">
        <f>$B15 * IFERROR(VLOOKUP("industry|PM25|Work loss days", US_national_yearly!$D:$AM, 25, FALSE) / VLOOKUP("industry|PM25|Work loss days", US_national_yearly!$D:$AM, 10, FALSE), 1)</f>
        <v>9.8774853051269859E-2</v>
      </c>
      <c r="R15" s="7">
        <f>$B15 * IFERROR(VLOOKUP("industry|PM25|Work loss days", US_national_yearly!$D:$AM, 26, FALSE) / VLOOKUP("industry|PM25|Work loss days", US_national_yearly!$D:$AM, 10, FALSE), 1)</f>
        <v>9.9458861812259547E-2</v>
      </c>
      <c r="S15" s="7">
        <f>$B15 * IFERROR(VLOOKUP("industry|PM25|Work loss days", US_national_yearly!$D:$AM, 27, FALSE) / VLOOKUP("industry|PM25|Work loss days", US_national_yearly!$D:$AM, 10, FALSE), 1)</f>
        <v>0.10021733055731788</v>
      </c>
      <c r="T15" s="7">
        <f>$B15 * IFERROR(VLOOKUP("industry|PM25|Work loss days", US_national_yearly!$D:$AM, 28, FALSE) / VLOOKUP("industry|PM25|Work loss days", US_national_yearly!$D:$AM, 10, FALSE), 1)</f>
        <v>0.10097579930237618</v>
      </c>
      <c r="U15" s="7">
        <f>$B15 * IFERROR(VLOOKUP("industry|PM25|Work loss days", US_national_yearly!$D:$AM, 29, FALSE) / VLOOKUP("industry|PM25|Work loss days", US_national_yearly!$D:$AM, 10, FALSE), 1)</f>
        <v>0.10173426804743449</v>
      </c>
      <c r="V15" s="7">
        <f>$B15 * IFERROR(VLOOKUP("industry|PM25|Work loss days", US_national_yearly!$D:$AM, 30, FALSE) / VLOOKUP("industry|PM25|Work loss days", US_national_yearly!$D:$AM, 10, FALSE), 1)</f>
        <v>0.10249273679249281</v>
      </c>
      <c r="W15" s="7">
        <f>$B15 * IFERROR(VLOOKUP("industry|PM25|Work loss days", US_national_yearly!$D:$AM, 31, FALSE) / VLOOKUP("industry|PM25|Work loss days", US_national_yearly!$D:$AM, 10, FALSE), 1)</f>
        <v>0.10325120553755114</v>
      </c>
      <c r="X15" s="7">
        <f>$B15 * IFERROR(VLOOKUP("industry|PM25|Work loss days", US_national_yearly!$D:$AM, 32, FALSE) / VLOOKUP("industry|PM25|Work loss days", US_national_yearly!$D:$AM, 10, FALSE), 1)</f>
        <v>0.10392520474862002</v>
      </c>
      <c r="Y15" s="7">
        <f>$B15 * IFERROR(VLOOKUP("industry|PM25|Work loss days", US_national_yearly!$D:$AM, 33, FALSE) / VLOOKUP("industry|PM25|Work loss days", US_national_yearly!$D:$AM, 10, FALSE), 1)</f>
        <v>0.10459920395968894</v>
      </c>
      <c r="Z15" s="7">
        <f>$B15 * IFERROR(VLOOKUP("industry|PM25|Work loss days", US_national_yearly!$D:$AM, 34, FALSE) / VLOOKUP("industry|PM25|Work loss days", US_national_yearly!$D:$AM, 10, FALSE), 1)</f>
        <v>0.10527320317075785</v>
      </c>
      <c r="AA15" s="7">
        <f>$B15 * IFERROR(VLOOKUP("industry|PM25|Work loss days", US_national_yearly!$D:$AM, 35, FALSE) / VLOOKUP("industry|PM25|Work loss days", US_national_yearly!$D:$AM, 10, FALSE), 1)</f>
        <v>0.10594720238182673</v>
      </c>
      <c r="AB15" s="7">
        <f>$B15 * IFERROR(VLOOKUP("industry|PM25|Work loss days", US_national_yearly!$D:$AM, 36, FALSE) / VLOOKUP("industry|PM25|Work loss days", US_national_yearly!$D:$AM, 10, FALSE), 1)</f>
        <v>0.10662120159289563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1.4562524092065769E-4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1.4998098523992323E-4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1.5433672955918873E-4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1.5869247387845426E-4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1.6304821819771974E-4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1.6722288517128712E-4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1.7139755214485447E-4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1.7498186958602685E-4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1.7856618702719921E-4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1.8215050446837163E-4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1.8573482190954401E-4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1.893191393507164E-4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1.9171347691482611E-4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1.9410781447893574E-4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1.9650215204304543E-4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1.9889648960715509E-4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2.0129082717126474E-4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2.0257365517413462E-4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2.0385648317700446E-4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2.0513931117987436E-4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2.0642213918274418E-4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2.0770496718561406E-4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2.08585878191257E-4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2.0946678919689989E-4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2.1034770020254284E-4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2.1122861120818573E-4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2.1210952221382864E-4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9.8398579559250853E-5</v>
      </c>
      <c r="C2" s="7">
        <f>$B2 * IFERROR(VLOOKUP("industry|NOx|Premature mortality", US_national_yearly!$D:$AM, 11, FALSE) / VLOOKUP("industry|NOx|Premature mortality", US_national_yearly!$D:$AM, 10, FALSE), 1)</f>
        <v>9.9853573527684228E-5</v>
      </c>
      <c r="D2" s="7">
        <f>$B2 * IFERROR(VLOOKUP("industry|NOx|Premature mortality", US_national_yearly!$D:$AM, 12, FALSE) / VLOOKUP("industry|NOx|Premature mortality", US_national_yearly!$D:$AM, 10, FALSE), 1)</f>
        <v>1.0130856749611763E-4</v>
      </c>
      <c r="E2" s="7">
        <f>$B2 * IFERROR(VLOOKUP("industry|NOx|Premature mortality", US_national_yearly!$D:$AM, 13, FALSE) / VLOOKUP("industry|NOx|Premature mortality", US_national_yearly!$D:$AM, 10, FALSE), 1)</f>
        <v>1.02763561464551E-4</v>
      </c>
      <c r="F2" s="7">
        <f>$B2 * IFERROR(VLOOKUP("industry|NOx|Premature mortality", US_national_yearly!$D:$AM, 14, FALSE) / VLOOKUP("industry|NOx|Premature mortality", US_national_yearly!$D:$AM, 10, FALSE), 1)</f>
        <v>1.0421855543298441E-4</v>
      </c>
      <c r="G2" s="7">
        <f>$B2 * IFERROR(VLOOKUP("industry|NOx|Premature mortality", US_national_yearly!$D:$AM, 15, FALSE) / VLOOKUP("industry|NOx|Premature mortality", US_national_yearly!$D:$AM, 10, FALSE), 1)</f>
        <v>1.0682790448815107E-4</v>
      </c>
      <c r="H2" s="7">
        <f>$B2 * IFERROR(VLOOKUP("industry|NOx|Premature mortality", US_national_yearly!$D:$AM, 16, FALSE) / VLOOKUP("industry|NOx|Premature mortality", US_national_yearly!$D:$AM, 10, FALSE), 1)</f>
        <v>1.0943725354331772E-4</v>
      </c>
      <c r="I2" s="7">
        <f>$B2 * IFERROR(VLOOKUP("industry|NOx|Premature mortality", US_national_yearly!$D:$AM, 17, FALSE) / VLOOKUP("industry|NOx|Premature mortality", US_national_yearly!$D:$AM, 10, FALSE), 1)</f>
        <v>1.1113002607602811E-4</v>
      </c>
      <c r="J2" s="7">
        <f>$B2 * IFERROR(VLOOKUP("industry|NOx|Premature mortality", US_national_yearly!$D:$AM, 18, FALSE) / VLOOKUP("industry|NOx|Premature mortality", US_national_yearly!$D:$AM, 10, FALSE), 1)</f>
        <v>1.128227986087385E-4</v>
      </c>
      <c r="K2" s="7">
        <f>$B2 * IFERROR(VLOOKUP("industry|NOx|Premature mortality", US_national_yearly!$D:$AM, 19, FALSE) / VLOOKUP("industry|NOx|Premature mortality", US_national_yearly!$D:$AM, 10, FALSE), 1)</f>
        <v>1.1451557114144891E-4</v>
      </c>
      <c r="L2" s="7">
        <f>$B2 * IFERROR(VLOOKUP("industry|NOx|Premature mortality", US_national_yearly!$D:$AM, 20, FALSE) / VLOOKUP("industry|NOx|Premature mortality", US_national_yearly!$D:$AM, 10, FALSE), 1)</f>
        <v>1.162083436741593E-4</v>
      </c>
      <c r="M2" s="7">
        <f>$B2 * IFERROR(VLOOKUP("industry|NOx|Premature mortality", US_national_yearly!$D:$AM, 21, FALSE) / VLOOKUP("industry|NOx|Premature mortality", US_national_yearly!$D:$AM, 10, FALSE), 1)</f>
        <v>1.1790111620686968E-4</v>
      </c>
      <c r="N2" s="7">
        <f>$B2 * IFERROR(VLOOKUP("industry|NOx|Premature mortality", US_national_yearly!$D:$AM, 22, FALSE) / VLOOKUP("industry|NOx|Premature mortality", US_national_yearly!$D:$AM, 10, FALSE), 1)</f>
        <v>1.1916075986185064E-4</v>
      </c>
      <c r="O2" s="7">
        <f>$B2 * IFERROR(VLOOKUP("industry|NOx|Premature mortality", US_national_yearly!$D:$AM, 23, FALSE) / VLOOKUP("industry|NOx|Premature mortality", US_national_yearly!$D:$AM, 10, FALSE), 1)</f>
        <v>1.2042040351683156E-4</v>
      </c>
      <c r="P2" s="7">
        <f>$B2 * IFERROR(VLOOKUP("industry|NOx|Premature mortality", US_national_yearly!$D:$AM, 24, FALSE) / VLOOKUP("industry|NOx|Premature mortality", US_national_yearly!$D:$AM, 10, FALSE), 1)</f>
        <v>1.2168004717181246E-4</v>
      </c>
      <c r="Q2" s="7">
        <f>$B2 * IFERROR(VLOOKUP("industry|NOx|Premature mortality", US_national_yearly!$D:$AM, 25, FALSE) / VLOOKUP("industry|NOx|Premature mortality", US_national_yearly!$D:$AM, 10, FALSE), 1)</f>
        <v>1.2293969082679339E-4</v>
      </c>
      <c r="R2" s="7">
        <f>$B2 * IFERROR(VLOOKUP("industry|NOx|Premature mortality", US_national_yearly!$D:$AM, 26, FALSE) / VLOOKUP("industry|NOx|Premature mortality", US_national_yearly!$D:$AM, 10, FALSE), 1)</f>
        <v>1.2419933448177433E-4</v>
      </c>
      <c r="S2" s="7">
        <f>$B2 * IFERROR(VLOOKUP("industry|NOx|Premature mortality", US_national_yearly!$D:$AM, 27, FALSE) / VLOOKUP("industry|NOx|Premature mortality", US_national_yearly!$D:$AM, 10, FALSE), 1)</f>
        <v>1.2478590061784254E-4</v>
      </c>
      <c r="T2" s="7">
        <f>$B2 * IFERROR(VLOOKUP("industry|NOx|Premature mortality", US_national_yearly!$D:$AM, 28, FALSE) / VLOOKUP("industry|NOx|Premature mortality", US_national_yearly!$D:$AM, 10, FALSE), 1)</f>
        <v>1.2537246675391078E-4</v>
      </c>
      <c r="U2" s="7">
        <f>$B2 * IFERROR(VLOOKUP("industry|NOx|Premature mortality", US_national_yearly!$D:$AM, 29, FALSE) / VLOOKUP("industry|NOx|Premature mortality", US_national_yearly!$D:$AM, 10, FALSE), 1)</f>
        <v>1.2595903288997899E-4</v>
      </c>
      <c r="V2" s="7">
        <f>$B2 * IFERROR(VLOOKUP("industry|NOx|Premature mortality", US_national_yearly!$D:$AM, 30, FALSE) / VLOOKUP("industry|NOx|Premature mortality", US_national_yearly!$D:$AM, 10, FALSE), 1)</f>
        <v>1.2654559902604723E-4</v>
      </c>
      <c r="W2" s="7">
        <f>$B2 * IFERROR(VLOOKUP("industry|NOx|Premature mortality", US_national_yearly!$D:$AM, 31, FALSE) / VLOOKUP("industry|NOx|Premature mortality", US_national_yearly!$D:$AM, 10, FALSE), 1)</f>
        <v>1.2713216516211544E-4</v>
      </c>
      <c r="X2" s="7">
        <f>$B2 * IFERROR(VLOOKUP("industry|NOx|Premature mortality", US_national_yearly!$D:$AM, 32, FALSE) / VLOOKUP("industry|NOx|Premature mortality", US_national_yearly!$D:$AM, 10, FALSE), 1)</f>
        <v>1.2717699242217566E-4</v>
      </c>
      <c r="Y2" s="7">
        <f>$B2 * IFERROR(VLOOKUP("industry|NOx|Premature mortality", US_national_yearly!$D:$AM, 33, FALSE) / VLOOKUP("industry|NOx|Premature mortality", US_national_yearly!$D:$AM, 10, FALSE), 1)</f>
        <v>1.2722181968223588E-4</v>
      </c>
      <c r="Z2" s="7">
        <f>$B2 * IFERROR(VLOOKUP("industry|NOx|Premature mortality", US_national_yearly!$D:$AM, 34, FALSE) / VLOOKUP("industry|NOx|Premature mortality", US_national_yearly!$D:$AM, 10, FALSE), 1)</f>
        <v>1.272666469422961E-4</v>
      </c>
      <c r="AA2" s="7">
        <f>$B2 * IFERROR(VLOOKUP("industry|NOx|Premature mortality", US_national_yearly!$D:$AM, 35, FALSE) / VLOOKUP("industry|NOx|Premature mortality", US_national_yearly!$D:$AM, 10, FALSE), 1)</f>
        <v>1.2731147420235632E-4</v>
      </c>
      <c r="AB2" s="7">
        <f>$B2 * IFERROR(VLOOKUP("industry|NOx|Premature mortality", US_national_yearly!$D:$AM, 36, FALSE) / VLOOKUP("industry|NOx|Premature mortality", US_national_yearly!$D:$AM, 10, FALSE), 1)</f>
        <v>1.2735630146241654E-4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2.0156136309736618E-7</v>
      </c>
      <c r="C3" s="7">
        <f>$B3 * IFERROR(VLOOKUP("industry|NOx|Infant mortality", US_national_yearly!$D:$AM, 11, FALSE) / VLOOKUP("industry|NOx|Infant mortality", US_national_yearly!$D:$AM, 10, FALSE), 1)</f>
        <v>1.9963104370107E-7</v>
      </c>
      <c r="D3" s="7">
        <f>$B3 * IFERROR(VLOOKUP("industry|NOx|Infant mortality", US_national_yearly!$D:$AM, 12, FALSE) / VLOOKUP("industry|NOx|Infant mortality", US_national_yearly!$D:$AM, 10, FALSE), 1)</f>
        <v>1.9770072430477379E-7</v>
      </c>
      <c r="E3" s="7">
        <f>$B3 * IFERROR(VLOOKUP("industry|NOx|Infant mortality", US_national_yearly!$D:$AM, 13, FALSE) / VLOOKUP("industry|NOx|Infant mortality", US_national_yearly!$D:$AM, 10, FALSE), 1)</f>
        <v>1.9577040490847761E-7</v>
      </c>
      <c r="F3" s="7">
        <f>$B3 * IFERROR(VLOOKUP("industry|NOx|Infant mortality", US_national_yearly!$D:$AM, 14, FALSE) / VLOOKUP("industry|NOx|Infant mortality", US_national_yearly!$D:$AM, 10, FALSE), 1)</f>
        <v>1.9384008551218143E-7</v>
      </c>
      <c r="G3" s="7">
        <f>$B3 * IFERROR(VLOOKUP("industry|NOx|Infant mortality", US_national_yearly!$D:$AM, 15, FALSE) / VLOOKUP("industry|NOx|Infant mortality", US_national_yearly!$D:$AM, 10, FALSE), 1)</f>
        <v>1.285718483072697E-7</v>
      </c>
      <c r="H3" s="7">
        <f>$B3 * IFERROR(VLOOKUP("industry|NOx|Infant mortality", US_national_yearly!$D:$AM, 16, FALSE) / VLOOKUP("industry|NOx|Infant mortality", US_national_yearly!$D:$AM, 10, FALSE), 1)</f>
        <v>6.3303611102357977E-8</v>
      </c>
      <c r="I3" s="7">
        <f>$B3 * IFERROR(VLOOKUP("industry|NOx|Infant mortality", US_national_yearly!$D:$AM, 17, FALSE) / VLOOKUP("industry|NOx|Infant mortality", US_national_yearly!$D:$AM, 10, FALSE), 1)</f>
        <v>6.2847219398469637E-8</v>
      </c>
      <c r="J3" s="7">
        <f>$B3 * IFERROR(VLOOKUP("industry|NOx|Infant mortality", US_national_yearly!$D:$AM, 18, FALSE) / VLOOKUP("industry|NOx|Infant mortality", US_national_yearly!$D:$AM, 10, FALSE), 1)</f>
        <v>6.2390827694581311E-8</v>
      </c>
      <c r="K3" s="7">
        <f>$B3 * IFERROR(VLOOKUP("industry|NOx|Infant mortality", US_national_yearly!$D:$AM, 19, FALSE) / VLOOKUP("industry|NOx|Infant mortality", US_national_yearly!$D:$AM, 10, FALSE), 1)</f>
        <v>6.1934435990692985E-8</v>
      </c>
      <c r="L3" s="7">
        <f>$B3 * IFERROR(VLOOKUP("industry|NOx|Infant mortality", US_national_yearly!$D:$AM, 20, FALSE) / VLOOKUP("industry|NOx|Infant mortality", US_national_yearly!$D:$AM, 10, FALSE), 1)</f>
        <v>6.1478044286804632E-8</v>
      </c>
      <c r="M3" s="7">
        <f>$B3 * IFERROR(VLOOKUP("industry|NOx|Infant mortality", US_national_yearly!$D:$AM, 21, FALSE) / VLOOKUP("industry|NOx|Infant mortality", US_national_yearly!$D:$AM, 10, FALSE), 1)</f>
        <v>6.1021652582916305E-8</v>
      </c>
      <c r="N3" s="7">
        <f>$B3 * IFERROR(VLOOKUP("industry|NOx|Infant mortality", US_national_yearly!$D:$AM, 22, FALSE) / VLOOKUP("industry|NOx|Infant mortality", US_national_yearly!$D:$AM, 10, FALSE), 1)</f>
        <v>6.071415643927942E-8</v>
      </c>
      <c r="O3" s="7">
        <f>$B3 * IFERROR(VLOOKUP("industry|NOx|Infant mortality", US_national_yearly!$D:$AM, 23, FALSE) / VLOOKUP("industry|NOx|Infant mortality", US_national_yearly!$D:$AM, 10, FALSE), 1)</f>
        <v>6.0406660295642521E-8</v>
      </c>
      <c r="P3" s="7">
        <f>$B3 * IFERROR(VLOOKUP("industry|NOx|Infant mortality", US_national_yearly!$D:$AM, 24, FALSE) / VLOOKUP("industry|NOx|Infant mortality", US_national_yearly!$D:$AM, 10, FALSE), 1)</f>
        <v>6.0099164152005621E-8</v>
      </c>
      <c r="Q3" s="7">
        <f>$B3 * IFERROR(VLOOKUP("industry|NOx|Infant mortality", US_national_yearly!$D:$AM, 25, FALSE) / VLOOKUP("industry|NOx|Infant mortality", US_national_yearly!$D:$AM, 10, FALSE), 1)</f>
        <v>5.9791668008368736E-8</v>
      </c>
      <c r="R3" s="7">
        <f>$B3 * IFERROR(VLOOKUP("industry|NOx|Infant mortality", US_national_yearly!$D:$AM, 26, FALSE) / VLOOKUP("industry|NOx|Infant mortality", US_national_yearly!$D:$AM, 10, FALSE), 1)</f>
        <v>5.948417186473185E-8</v>
      </c>
      <c r="S3" s="7">
        <f>$B3 * IFERROR(VLOOKUP("industry|NOx|Infant mortality", US_national_yearly!$D:$AM, 27, FALSE) / VLOOKUP("industry|NOx|Infant mortality", US_national_yearly!$D:$AM, 10, FALSE), 1)</f>
        <v>5.9119025691602348E-8</v>
      </c>
      <c r="T3" s="7">
        <f>$B3 * IFERROR(VLOOKUP("industry|NOx|Infant mortality", US_national_yearly!$D:$AM, 28, FALSE) / VLOOKUP("industry|NOx|Infant mortality", US_national_yearly!$D:$AM, 10, FALSE), 1)</f>
        <v>5.8753879518472846E-8</v>
      </c>
      <c r="U3" s="7">
        <f>$B3 * IFERROR(VLOOKUP("industry|NOx|Infant mortality", US_national_yearly!$D:$AM, 29, FALSE) / VLOOKUP("industry|NOx|Infant mortality", US_national_yearly!$D:$AM, 10, FALSE), 1)</f>
        <v>5.8388733345343345E-8</v>
      </c>
      <c r="V3" s="7">
        <f>$B3 * IFERROR(VLOOKUP("industry|NOx|Infant mortality", US_national_yearly!$D:$AM, 30, FALSE) / VLOOKUP("industry|NOx|Infant mortality", US_national_yearly!$D:$AM, 10, FALSE), 1)</f>
        <v>5.802358717221385E-8</v>
      </c>
      <c r="W3" s="7">
        <f>$B3 * IFERROR(VLOOKUP("industry|NOx|Infant mortality", US_national_yearly!$D:$AM, 31, FALSE) / VLOOKUP("industry|NOx|Infant mortality", US_national_yearly!$D:$AM, 10, FALSE), 1)</f>
        <v>5.7658440999084355E-8</v>
      </c>
      <c r="X3" s="7">
        <f>$B3 * IFERROR(VLOOKUP("industry|NOx|Infant mortality", US_national_yearly!$D:$AM, 32, FALSE) / VLOOKUP("industry|NOx|Infant mortality", US_national_yearly!$D:$AM, 10, FALSE), 1)</f>
        <v>5.727499708536687E-8</v>
      </c>
      <c r="Y3" s="7">
        <f>$B3 * IFERROR(VLOOKUP("industry|NOx|Infant mortality", US_national_yearly!$D:$AM, 33, FALSE) / VLOOKUP("industry|NOx|Infant mortality", US_national_yearly!$D:$AM, 10, FALSE), 1)</f>
        <v>5.6891553171649391E-8</v>
      </c>
      <c r="Z3" s="7">
        <f>$B3 * IFERROR(VLOOKUP("industry|NOx|Infant mortality", US_national_yearly!$D:$AM, 34, FALSE) / VLOOKUP("industry|NOx|Infant mortality", US_national_yearly!$D:$AM, 10, FALSE), 1)</f>
        <v>5.6508109257931906E-8</v>
      </c>
      <c r="AA3" s="7">
        <f>$B3 * IFERROR(VLOOKUP("industry|NOx|Infant mortality", US_national_yearly!$D:$AM, 35, FALSE) / VLOOKUP("industry|NOx|Infant mortality", US_national_yearly!$D:$AM, 10, FALSE), 1)</f>
        <v>5.6124665344214427E-8</v>
      </c>
      <c r="AB3" s="7">
        <f>$B3 * IFERROR(VLOOKUP("industry|NOx|Infant mortality", US_national_yearly!$D:$AM, 36, FALSE) / VLOOKUP("industry|NOx|Infant mortality", US_national_yearly!$D:$AM, 10, FALSE), 1)</f>
        <v>5.5741221430496949E-8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2.2116828422526514E-4</v>
      </c>
      <c r="C6" s="7">
        <f>$B6 * IFERROR(VLOOKUP("industry|NOx|Asthma symptoms cough", US_national_yearly!$D:$AM, 11, FALSE) / VLOOKUP("industry|NOx|Asthma symptoms cough", US_national_yearly!$D:$AM, 10, FALSE), 1)</f>
        <v>2.2419394139985436E-4</v>
      </c>
      <c r="D6" s="7">
        <f>$B6 * IFERROR(VLOOKUP("industry|NOx|Asthma symptoms cough", US_national_yearly!$D:$AM, 12, FALSE) / VLOOKUP("industry|NOx|Asthma symptoms cough", US_national_yearly!$D:$AM, 10, FALSE), 1)</f>
        <v>2.2721959857444359E-4</v>
      </c>
      <c r="E6" s="7">
        <f>$B6 * IFERROR(VLOOKUP("industry|NOx|Asthma symptoms cough", US_national_yearly!$D:$AM, 13, FALSE) / VLOOKUP("industry|NOx|Asthma symptoms cough", US_national_yearly!$D:$AM, 10, FALSE), 1)</f>
        <v>2.3024525574903281E-4</v>
      </c>
      <c r="F6" s="7">
        <f>$B6 * IFERROR(VLOOKUP("industry|NOx|Asthma symptoms cough", US_national_yearly!$D:$AM, 14, FALSE) / VLOOKUP("industry|NOx|Asthma symptoms cough", US_national_yearly!$D:$AM, 10, FALSE), 1)</f>
        <v>2.33270912923622E-4</v>
      </c>
      <c r="G6" s="7">
        <f>$B6 * IFERROR(VLOOKUP("industry|NOx|Asthma symptoms cough", US_national_yearly!$D:$AM, 15, FALSE) / VLOOKUP("industry|NOx|Asthma symptoms cough", US_national_yearly!$D:$AM, 10, FALSE), 1)</f>
        <v>2.3569702058490814E-4</v>
      </c>
      <c r="H6" s="7">
        <f>$B6 * IFERROR(VLOOKUP("industry|NOx|Asthma symptoms cough", US_national_yearly!$D:$AM, 16, FALSE) / VLOOKUP("industry|NOx|Asthma symptoms cough", US_national_yearly!$D:$AM, 10, FALSE), 1)</f>
        <v>2.3812312824619431E-4</v>
      </c>
      <c r="I6" s="7">
        <f>$B6 * IFERROR(VLOOKUP("industry|NOx|Asthma symptoms cough", US_national_yearly!$D:$AM, 17, FALSE) / VLOOKUP("industry|NOx|Asthma symptoms cough", US_national_yearly!$D:$AM, 10, FALSE), 1)</f>
        <v>2.3896743521992857E-4</v>
      </c>
      <c r="J6" s="7">
        <f>$B6 * IFERROR(VLOOKUP("industry|NOx|Asthma symptoms cough", US_national_yearly!$D:$AM, 18, FALSE) / VLOOKUP("industry|NOx|Asthma symptoms cough", US_national_yearly!$D:$AM, 10, FALSE), 1)</f>
        <v>2.398117421936629E-4</v>
      </c>
      <c r="K6" s="7">
        <f>$B6 * IFERROR(VLOOKUP("industry|NOx|Asthma symptoms cough", US_national_yearly!$D:$AM, 19, FALSE) / VLOOKUP("industry|NOx|Asthma symptoms cough", US_national_yearly!$D:$AM, 10, FALSE), 1)</f>
        <v>2.4065604916739716E-4</v>
      </c>
      <c r="L6" s="7">
        <f>$B6 * IFERROR(VLOOKUP("industry|NOx|Asthma symptoms cough", US_national_yearly!$D:$AM, 20, FALSE) / VLOOKUP("industry|NOx|Asthma symptoms cough", US_national_yearly!$D:$AM, 10, FALSE), 1)</f>
        <v>2.4150035614113147E-4</v>
      </c>
      <c r="M6" s="7">
        <f>$B6 * IFERROR(VLOOKUP("industry|NOx|Asthma symptoms cough", US_national_yearly!$D:$AM, 21, FALSE) / VLOOKUP("industry|NOx|Asthma symptoms cough", US_national_yearly!$D:$AM, 10, FALSE), 1)</f>
        <v>2.423446631148658E-4</v>
      </c>
      <c r="N6" s="7">
        <f>$B6 * IFERROR(VLOOKUP("industry|NOx|Asthma symptoms cough", US_national_yearly!$D:$AM, 22, FALSE) / VLOOKUP("industry|NOx|Asthma symptoms cough", US_national_yearly!$D:$AM, 10, FALSE), 1)</f>
        <v>2.4330846257384332E-4</v>
      </c>
      <c r="O6" s="7">
        <f>$B6 * IFERROR(VLOOKUP("industry|NOx|Asthma symptoms cough", US_national_yearly!$D:$AM, 23, FALSE) / VLOOKUP("industry|NOx|Asthma symptoms cough", US_national_yearly!$D:$AM, 10, FALSE), 1)</f>
        <v>2.4427226203282081E-4</v>
      </c>
      <c r="P6" s="7">
        <f>$B6 * IFERROR(VLOOKUP("industry|NOx|Asthma symptoms cough", US_national_yearly!$D:$AM, 24, FALSE) / VLOOKUP("industry|NOx|Asthma symptoms cough", US_national_yearly!$D:$AM, 10, FALSE), 1)</f>
        <v>2.4523606149179833E-4</v>
      </c>
      <c r="Q6" s="7">
        <f>$B6 * IFERROR(VLOOKUP("industry|NOx|Asthma symptoms cough", US_national_yearly!$D:$AM, 25, FALSE) / VLOOKUP("industry|NOx|Asthma symptoms cough", US_national_yearly!$D:$AM, 10, FALSE), 1)</f>
        <v>2.4619986095077585E-4</v>
      </c>
      <c r="R6" s="7">
        <f>$B6 * IFERROR(VLOOKUP("industry|NOx|Asthma symptoms cough", US_national_yearly!$D:$AM, 26, FALSE) / VLOOKUP("industry|NOx|Asthma symptoms cough", US_national_yearly!$D:$AM, 10, FALSE), 1)</f>
        <v>2.4716366040975336E-4</v>
      </c>
      <c r="S6" s="7">
        <f>$B6 * IFERROR(VLOOKUP("industry|NOx|Asthma symptoms cough", US_national_yearly!$D:$AM, 27, FALSE) / VLOOKUP("industry|NOx|Asthma symptoms cough", US_national_yearly!$D:$AM, 10, FALSE), 1)</f>
        <v>2.4840691906755433E-4</v>
      </c>
      <c r="T6" s="7">
        <f>$B6 * IFERROR(VLOOKUP("industry|NOx|Asthma symptoms cough", US_national_yearly!$D:$AM, 28, FALSE) / VLOOKUP("industry|NOx|Asthma symptoms cough", US_national_yearly!$D:$AM, 10, FALSE), 1)</f>
        <v>2.4965017772535529E-4</v>
      </c>
      <c r="U6" s="7">
        <f>$B6 * IFERROR(VLOOKUP("industry|NOx|Asthma symptoms cough", US_national_yearly!$D:$AM, 29, FALSE) / VLOOKUP("industry|NOx|Asthma symptoms cough", US_national_yearly!$D:$AM, 10, FALSE), 1)</f>
        <v>2.5089343638315625E-4</v>
      </c>
      <c r="V6" s="7">
        <f>$B6 * IFERROR(VLOOKUP("industry|NOx|Asthma symptoms cough", US_national_yearly!$D:$AM, 30, FALSE) / VLOOKUP("industry|NOx|Asthma symptoms cough", US_national_yearly!$D:$AM, 10, FALSE), 1)</f>
        <v>2.5213669504095716E-4</v>
      </c>
      <c r="W6" s="7">
        <f>$B6 * IFERROR(VLOOKUP("industry|NOx|Asthma symptoms cough", US_national_yearly!$D:$AM, 31, FALSE) / VLOOKUP("industry|NOx|Asthma symptoms cough", US_national_yearly!$D:$AM, 10, FALSE), 1)</f>
        <v>2.5337995369875818E-4</v>
      </c>
      <c r="X6" s="7">
        <f>$B6 * IFERROR(VLOOKUP("industry|NOx|Asthma symptoms cough", US_national_yearly!$D:$AM, 32, FALSE) / VLOOKUP("industry|NOx|Asthma symptoms cough", US_national_yearly!$D:$AM, 10, FALSE), 1)</f>
        <v>2.5453255007941162E-4</v>
      </c>
      <c r="Y6" s="7">
        <f>$B6 * IFERROR(VLOOKUP("industry|NOx|Asthma symptoms cough", US_national_yearly!$D:$AM, 33, FALSE) / VLOOKUP("industry|NOx|Asthma symptoms cough", US_national_yearly!$D:$AM, 10, FALSE), 1)</f>
        <v>2.5568514646006501E-4</v>
      </c>
      <c r="Z6" s="7">
        <f>$B6 * IFERROR(VLOOKUP("industry|NOx|Asthma symptoms cough", US_national_yearly!$D:$AM, 34, FALSE) / VLOOKUP("industry|NOx|Asthma symptoms cough", US_national_yearly!$D:$AM, 10, FALSE), 1)</f>
        <v>2.5683774284071846E-4</v>
      </c>
      <c r="AA6" s="7">
        <f>$B6 * IFERROR(VLOOKUP("industry|NOx|Asthma symptoms cough", US_national_yearly!$D:$AM, 35, FALSE) / VLOOKUP("industry|NOx|Asthma symptoms cough", US_national_yearly!$D:$AM, 10, FALSE), 1)</f>
        <v>2.579903392213719E-4</v>
      </c>
      <c r="AB6" s="7">
        <f>$B6 * IFERROR(VLOOKUP("industry|NOx|Asthma symptoms cough", US_national_yearly!$D:$AM, 36, FALSE) / VLOOKUP("industry|NOx|Asthma symptoms cough", US_national_yearly!$D:$AM, 10, FALSE), 1)</f>
        <v>2.5914293560202534E-4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2.9783481149329896E-4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3.0190929276661293E-4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3.059837740399269E-4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3.1005825531324092E-4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3.1413273658655494E-4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3.1739983845796338E-4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3.2066694032937193E-4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3.2180392073292703E-4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3.2294090113648208E-4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3.2407788154003718E-4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3.2521486194359239E-4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3.263518423471475E-4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3.2764973651946614E-4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3.2894763069178477E-4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3.3024552486410347E-4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3.3154341903642216E-4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3.328413132087408E-4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3.3451553927130634E-4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3.3618976533387194E-4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3.3786399139643748E-4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3.3953821745900313E-4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3.4121244352156862E-4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3.4276457982537989E-4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3.4431671612919116E-4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3.4586885243300243E-4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3.474209887368137E-4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3.4897312504062492E-4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4.5504245721039846E-4</v>
      </c>
      <c r="C8" s="7">
        <f>$B8 * IFERROR(VLOOKUP("industry|NOx|Asthma symptoms wheeze", US_national_yearly!$D:$AM, 11, FALSE) / VLOOKUP("industry|NOx|Asthma symptoms wheeze", US_national_yearly!$D:$AM, 10, FALSE), 1)</f>
        <v>4.612675924333499E-4</v>
      </c>
      <c r="D8" s="7">
        <f>$B8 * IFERROR(VLOOKUP("industry|NOx|Asthma symptoms wheeze", US_national_yearly!$D:$AM, 12, FALSE) / VLOOKUP("industry|NOx|Asthma symptoms wheeze", US_national_yearly!$D:$AM, 10, FALSE), 1)</f>
        <v>4.6749272765630139E-4</v>
      </c>
      <c r="E8" s="7">
        <f>$B8 * IFERROR(VLOOKUP("industry|NOx|Asthma symptoms wheeze", US_national_yearly!$D:$AM, 13, FALSE) / VLOOKUP("industry|NOx|Asthma symptoms wheeze", US_national_yearly!$D:$AM, 10, FALSE), 1)</f>
        <v>4.7371786287925282E-4</v>
      </c>
      <c r="F8" s="7">
        <f>$B8 * IFERROR(VLOOKUP("industry|NOx|Asthma symptoms wheeze", US_national_yearly!$D:$AM, 14, FALSE) / VLOOKUP("industry|NOx|Asthma symptoms wheeze", US_national_yearly!$D:$AM, 10, FALSE), 1)</f>
        <v>4.7994299810220421E-4</v>
      </c>
      <c r="G8" s="7">
        <f>$B8 * IFERROR(VLOOKUP("industry|NOx|Asthma symptoms wheeze", US_national_yearly!$D:$AM, 15, FALSE) / VLOOKUP("industry|NOx|Asthma symptoms wheeze", US_national_yearly!$D:$AM, 10, FALSE), 1)</f>
        <v>4.8493459080067961E-4</v>
      </c>
      <c r="H8" s="7">
        <f>$B8 * IFERROR(VLOOKUP("industry|NOx|Asthma symptoms wheeze", US_national_yearly!$D:$AM, 16, FALSE) / VLOOKUP("industry|NOx|Asthma symptoms wheeze", US_national_yearly!$D:$AM, 10, FALSE), 1)</f>
        <v>4.8992618349915479E-4</v>
      </c>
      <c r="I8" s="7">
        <f>$B8 * IFERROR(VLOOKUP("industry|NOx|Asthma symptoms wheeze", US_national_yearly!$D:$AM, 17, FALSE) / VLOOKUP("industry|NOx|Asthma symptoms wheeze", US_national_yearly!$D:$AM, 10, FALSE), 1)</f>
        <v>4.9166330201048784E-4</v>
      </c>
      <c r="J8" s="7">
        <f>$B8 * IFERROR(VLOOKUP("industry|NOx|Asthma symptoms wheeze", US_national_yearly!$D:$AM, 18, FALSE) / VLOOKUP("industry|NOx|Asthma symptoms wheeze", US_national_yearly!$D:$AM, 10, FALSE), 1)</f>
        <v>4.9340042052182088E-4</v>
      </c>
      <c r="K8" s="7">
        <f>$B8 * IFERROR(VLOOKUP("industry|NOx|Asthma symptoms wheeze", US_national_yearly!$D:$AM, 19, FALSE) / VLOOKUP("industry|NOx|Asthma symptoms wheeze", US_national_yearly!$D:$AM, 10, FALSE), 1)</f>
        <v>4.9513753903315393E-4</v>
      </c>
      <c r="L8" s="7">
        <f>$B8 * IFERROR(VLOOKUP("industry|NOx|Asthma symptoms wheeze", US_national_yearly!$D:$AM, 20, FALSE) / VLOOKUP("industry|NOx|Asthma symptoms wheeze", US_national_yearly!$D:$AM, 10, FALSE), 1)</f>
        <v>4.9687465754448676E-4</v>
      </c>
      <c r="M8" s="7">
        <f>$B8 * IFERROR(VLOOKUP("industry|NOx|Asthma symptoms wheeze", US_national_yearly!$D:$AM, 21, FALSE) / VLOOKUP("industry|NOx|Asthma symptoms wheeze", US_national_yearly!$D:$AM, 10, FALSE), 1)</f>
        <v>4.9861177605581991E-4</v>
      </c>
      <c r="N8" s="7">
        <f>$B8 * IFERROR(VLOOKUP("industry|NOx|Asthma symptoms wheeze", US_national_yearly!$D:$AM, 22, FALSE) / VLOOKUP("industry|NOx|Asthma symptoms wheeze", US_national_yearly!$D:$AM, 10, FALSE), 1)</f>
        <v>5.0059474425712233E-4</v>
      </c>
      <c r="O8" s="7">
        <f>$B8 * IFERROR(VLOOKUP("industry|NOx|Asthma symptoms wheeze", US_national_yearly!$D:$AM, 23, FALSE) / VLOOKUP("industry|NOx|Asthma symptoms wheeze", US_national_yearly!$D:$AM, 10, FALSE), 1)</f>
        <v>5.0257771245842487E-4</v>
      </c>
      <c r="P8" s="7">
        <f>$B8 * IFERROR(VLOOKUP("industry|NOx|Asthma symptoms wheeze", US_national_yearly!$D:$AM, 24, FALSE) / VLOOKUP("industry|NOx|Asthma symptoms wheeze", US_national_yearly!$D:$AM, 10, FALSE), 1)</f>
        <v>5.0456068065972729E-4</v>
      </c>
      <c r="Q8" s="7">
        <f>$B8 * IFERROR(VLOOKUP("industry|NOx|Asthma symptoms wheeze", US_national_yearly!$D:$AM, 25, FALSE) / VLOOKUP("industry|NOx|Asthma symptoms wheeze", US_national_yearly!$D:$AM, 10, FALSE), 1)</f>
        <v>5.0654364886102972E-4</v>
      </c>
      <c r="R8" s="7">
        <f>$B8 * IFERROR(VLOOKUP("industry|NOx|Asthma symptoms wheeze", US_national_yearly!$D:$AM, 26, FALSE) / VLOOKUP("industry|NOx|Asthma symptoms wheeze", US_national_yearly!$D:$AM, 10, FALSE), 1)</f>
        <v>5.0852661706233225E-4</v>
      </c>
      <c r="S8" s="7">
        <f>$B8 * IFERROR(VLOOKUP("industry|NOx|Asthma symptoms wheeze", US_national_yearly!$D:$AM, 27, FALSE) / VLOOKUP("industry|NOx|Asthma symptoms wheeze", US_national_yearly!$D:$AM, 10, FALSE), 1)</f>
        <v>5.1108455830272835E-4</v>
      </c>
      <c r="T8" s="7">
        <f>$B8 * IFERROR(VLOOKUP("industry|NOx|Asthma symptoms wheeze", US_national_yearly!$D:$AM, 28, FALSE) / VLOOKUP("industry|NOx|Asthma symptoms wheeze", US_national_yearly!$D:$AM, 10, FALSE), 1)</f>
        <v>5.1364249954312434E-4</v>
      </c>
      <c r="U8" s="7">
        <f>$B8 * IFERROR(VLOOKUP("industry|NOx|Asthma symptoms wheeze", US_national_yearly!$D:$AM, 29, FALSE) / VLOOKUP("industry|NOx|Asthma symptoms wheeze", US_national_yearly!$D:$AM, 10, FALSE), 1)</f>
        <v>5.1620044078352033E-4</v>
      </c>
      <c r="V8" s="7">
        <f>$B8 * IFERROR(VLOOKUP("industry|NOx|Asthma symptoms wheeze", US_national_yearly!$D:$AM, 30, FALSE) / VLOOKUP("industry|NOx|Asthma symptoms wheeze", US_national_yearly!$D:$AM, 10, FALSE), 1)</f>
        <v>5.1875838202391632E-4</v>
      </c>
      <c r="W8" s="7">
        <f>$B8 * IFERROR(VLOOKUP("industry|NOx|Asthma symptoms wheeze", US_national_yearly!$D:$AM, 31, FALSE) / VLOOKUP("industry|NOx|Asthma symptoms wheeze", US_national_yearly!$D:$AM, 10, FALSE), 1)</f>
        <v>5.2131632326431231E-4</v>
      </c>
      <c r="X8" s="7">
        <f>$B8 * IFERROR(VLOOKUP("industry|NOx|Asthma symptoms wheeze", US_national_yearly!$D:$AM, 32, FALSE) / VLOOKUP("industry|NOx|Asthma symptoms wheeze", US_national_yearly!$D:$AM, 10, FALSE), 1)</f>
        <v>5.2368773149626797E-4</v>
      </c>
      <c r="Y8" s="7">
        <f>$B8 * IFERROR(VLOOKUP("industry|NOx|Asthma symptoms wheeze", US_national_yearly!$D:$AM, 33, FALSE) / VLOOKUP("industry|NOx|Asthma symptoms wheeze", US_national_yearly!$D:$AM, 10, FALSE), 1)</f>
        <v>5.2605913972822351E-4</v>
      </c>
      <c r="Z8" s="7">
        <f>$B8 * IFERROR(VLOOKUP("industry|NOx|Asthma symptoms wheeze", US_national_yearly!$D:$AM, 34, FALSE) / VLOOKUP("industry|NOx|Asthma symptoms wheeze", US_national_yearly!$D:$AM, 10, FALSE), 1)</f>
        <v>5.2843054796017895E-4</v>
      </c>
      <c r="AA8" s="7">
        <f>$B8 * IFERROR(VLOOKUP("industry|NOx|Asthma symptoms wheeze", US_national_yearly!$D:$AM, 35, FALSE) / VLOOKUP("industry|NOx|Asthma symptoms wheeze", US_national_yearly!$D:$AM, 10, FALSE), 1)</f>
        <v>5.3080195619213438E-4</v>
      </c>
      <c r="AB8" s="7">
        <f>$B8 * IFERROR(VLOOKUP("industry|NOx|Asthma symptoms wheeze", US_national_yearly!$D:$AM, 36, FALSE) / VLOOKUP("industry|NOx|Asthma symptoms wheeze", US_national_yearly!$D:$AM, 10, FALSE), 1)</f>
        <v>5.3317336442409036E-4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4.3317817250383226E-6</v>
      </c>
      <c r="C12" s="7">
        <f>$B12 * IFERROR(VLOOKUP("industry|NOx|Respiratory hospital admissions", US_national_yearly!$D:$AM, 11, FALSE) / VLOOKUP("industry|NOx|Respiratory hospital admissions", US_national_yearly!$D:$AM, 10, FALSE), 1)</f>
        <v>4.4406104332241321E-6</v>
      </c>
      <c r="D12" s="7">
        <f>$B12 * IFERROR(VLOOKUP("industry|NOx|Respiratory hospital admissions", US_national_yearly!$D:$AM, 12, FALSE) / VLOOKUP("industry|NOx|Respiratory hospital admissions", US_national_yearly!$D:$AM, 10, FALSE), 1)</f>
        <v>4.5494391414099424E-6</v>
      </c>
      <c r="E12" s="7">
        <f>$B12 * IFERROR(VLOOKUP("industry|NOx|Respiratory hospital admissions", US_national_yearly!$D:$AM, 13, FALSE) / VLOOKUP("industry|NOx|Respiratory hospital admissions", US_national_yearly!$D:$AM, 10, FALSE), 1)</f>
        <v>4.6582678495957527E-6</v>
      </c>
      <c r="F12" s="7">
        <f>$B12 * IFERROR(VLOOKUP("industry|NOx|Respiratory hospital admissions", US_national_yearly!$D:$AM, 14, FALSE) / VLOOKUP("industry|NOx|Respiratory hospital admissions", US_national_yearly!$D:$AM, 10, FALSE), 1)</f>
        <v>4.7670965577815621E-6</v>
      </c>
      <c r="G12" s="7">
        <f>$B12 * IFERROR(VLOOKUP("industry|NOx|Respiratory hospital admissions", US_national_yearly!$D:$AM, 15, FALSE) / VLOOKUP("industry|NOx|Respiratory hospital admissions", US_national_yearly!$D:$AM, 10, FALSE), 1)</f>
        <v>4.8711960564742251E-6</v>
      </c>
      <c r="H12" s="7">
        <f>$B12 * IFERROR(VLOOKUP("industry|NOx|Respiratory hospital admissions", US_national_yearly!$D:$AM, 16, FALSE) / VLOOKUP("industry|NOx|Respiratory hospital admissions", US_national_yearly!$D:$AM, 10, FALSE), 1)</f>
        <v>4.975295555166888E-6</v>
      </c>
      <c r="I12" s="7">
        <f>$B12 * IFERROR(VLOOKUP("industry|NOx|Respiratory hospital admissions", US_national_yearly!$D:$AM, 17, FALSE) / VLOOKUP("industry|NOx|Respiratory hospital admissions", US_national_yearly!$D:$AM, 10, FALSE), 1)</f>
        <v>5.0639504141952471E-6</v>
      </c>
      <c r="J12" s="7">
        <f>$B12 * IFERROR(VLOOKUP("industry|NOx|Respiratory hospital admissions", US_national_yearly!$D:$AM, 18, FALSE) / VLOOKUP("industry|NOx|Respiratory hospital admissions", US_national_yearly!$D:$AM, 10, FALSE), 1)</f>
        <v>5.1526052732236061E-6</v>
      </c>
      <c r="K12" s="7">
        <f>$B12 * IFERROR(VLOOKUP("industry|NOx|Respiratory hospital admissions", US_national_yearly!$D:$AM, 19, FALSE) / VLOOKUP("industry|NOx|Respiratory hospital admissions", US_national_yearly!$D:$AM, 10, FALSE), 1)</f>
        <v>5.241260132251966E-6</v>
      </c>
      <c r="L12" s="7">
        <f>$B12 * IFERROR(VLOOKUP("industry|NOx|Respiratory hospital admissions", US_national_yearly!$D:$AM, 20, FALSE) / VLOOKUP("industry|NOx|Respiratory hospital admissions", US_national_yearly!$D:$AM, 10, FALSE), 1)</f>
        <v>5.3299149912803267E-6</v>
      </c>
      <c r="M12" s="7">
        <f>$B12 * IFERROR(VLOOKUP("industry|NOx|Respiratory hospital admissions", US_national_yearly!$D:$AM, 21, FALSE) / VLOOKUP("industry|NOx|Respiratory hospital admissions", US_national_yearly!$D:$AM, 10, FALSE), 1)</f>
        <v>5.4185698503086857E-6</v>
      </c>
      <c r="N12" s="7">
        <f>$B12 * IFERROR(VLOOKUP("industry|NOx|Respiratory hospital admissions", US_national_yearly!$D:$AM, 22, FALSE) / VLOOKUP("industry|NOx|Respiratory hospital admissions", US_national_yearly!$D:$AM, 10, FALSE), 1)</f>
        <v>5.4779878429708739E-6</v>
      </c>
      <c r="O12" s="7">
        <f>$B12 * IFERROR(VLOOKUP("industry|NOx|Respiratory hospital admissions", US_national_yearly!$D:$AM, 23, FALSE) / VLOOKUP("industry|NOx|Respiratory hospital admissions", US_national_yearly!$D:$AM, 10, FALSE), 1)</f>
        <v>5.5374058356330604E-6</v>
      </c>
      <c r="P12" s="7">
        <f>$B12 * IFERROR(VLOOKUP("industry|NOx|Respiratory hospital admissions", US_national_yearly!$D:$AM, 24, FALSE) / VLOOKUP("industry|NOx|Respiratory hospital admissions", US_national_yearly!$D:$AM, 10, FALSE), 1)</f>
        <v>5.5968238282952485E-6</v>
      </c>
      <c r="Q12" s="7">
        <f>$B12 * IFERROR(VLOOKUP("industry|NOx|Respiratory hospital admissions", US_national_yearly!$D:$AM, 25, FALSE) / VLOOKUP("industry|NOx|Respiratory hospital admissions", US_national_yearly!$D:$AM, 10, FALSE), 1)</f>
        <v>5.6562418209574359E-6</v>
      </c>
      <c r="R12" s="7">
        <f>$B12 * IFERROR(VLOOKUP("industry|NOx|Respiratory hospital admissions", US_national_yearly!$D:$AM, 26, FALSE) / VLOOKUP("industry|NOx|Respiratory hospital admissions", US_national_yearly!$D:$AM, 10, FALSE), 1)</f>
        <v>5.7156598136196241E-6</v>
      </c>
      <c r="S12" s="7">
        <f>$B12 * IFERROR(VLOOKUP("industry|NOx|Respiratory hospital admissions", US_national_yearly!$D:$AM, 27, FALSE) / VLOOKUP("industry|NOx|Respiratory hospital admissions", US_national_yearly!$D:$AM, 10, FALSE), 1)</f>
        <v>5.747918620977176E-6</v>
      </c>
      <c r="T12" s="7">
        <f>$B12 * IFERROR(VLOOKUP("industry|NOx|Respiratory hospital admissions", US_national_yearly!$D:$AM, 28, FALSE) / VLOOKUP("industry|NOx|Respiratory hospital admissions", US_national_yearly!$D:$AM, 10, FALSE), 1)</f>
        <v>5.780177428334728E-6</v>
      </c>
      <c r="U12" s="7">
        <f>$B12 * IFERROR(VLOOKUP("industry|NOx|Respiratory hospital admissions", US_national_yearly!$D:$AM, 29, FALSE) / VLOOKUP("industry|NOx|Respiratory hospital admissions", US_national_yearly!$D:$AM, 10, FALSE), 1)</f>
        <v>5.8124362356922799E-6</v>
      </c>
      <c r="V12" s="7">
        <f>$B12 * IFERROR(VLOOKUP("industry|NOx|Respiratory hospital admissions", US_national_yearly!$D:$AM, 30, FALSE) / VLOOKUP("industry|NOx|Respiratory hospital admissions", US_national_yearly!$D:$AM, 10, FALSE), 1)</f>
        <v>5.8446950430498318E-6</v>
      </c>
      <c r="W12" s="7">
        <f>$B12 * IFERROR(VLOOKUP("industry|NOx|Respiratory hospital admissions", US_national_yearly!$D:$AM, 31, FALSE) / VLOOKUP("industry|NOx|Respiratory hospital admissions", US_national_yearly!$D:$AM, 10, FALSE), 1)</f>
        <v>5.8769538504073838E-6</v>
      </c>
      <c r="X12" s="7">
        <f>$B12 * IFERROR(VLOOKUP("industry|NOx|Respiratory hospital admissions", US_national_yearly!$D:$AM, 32, FALSE) / VLOOKUP("industry|NOx|Respiratory hospital admissions", US_national_yearly!$D:$AM, 10, FALSE), 1)</f>
        <v>5.8994466780776491E-6</v>
      </c>
      <c r="Y12" s="7">
        <f>$B12 * IFERROR(VLOOKUP("industry|NOx|Respiratory hospital admissions", US_national_yearly!$D:$AM, 33, FALSE) / VLOOKUP("industry|NOx|Respiratory hospital admissions", US_national_yearly!$D:$AM, 10, FALSE), 1)</f>
        <v>5.9219395057479145E-6</v>
      </c>
      <c r="Z12" s="7">
        <f>$B12 * IFERROR(VLOOKUP("industry|NOx|Respiratory hospital admissions", US_national_yearly!$D:$AM, 34, FALSE) / VLOOKUP("industry|NOx|Respiratory hospital admissions", US_national_yearly!$D:$AM, 10, FALSE), 1)</f>
        <v>5.9444323334181807E-6</v>
      </c>
      <c r="AA12" s="7">
        <f>$B12 * IFERROR(VLOOKUP("industry|NOx|Respiratory hospital admissions", US_national_yearly!$D:$AM, 35, FALSE) / VLOOKUP("industry|NOx|Respiratory hospital admissions", US_national_yearly!$D:$AM, 10, FALSE), 1)</f>
        <v>5.966925161088446E-6</v>
      </c>
      <c r="AB12" s="7">
        <f>$B12 * IFERROR(VLOOKUP("industry|NOx|Respiratory hospital admissions", US_national_yearly!$D:$AM, 36, FALSE) / VLOOKUP("industry|NOx|Respiratory hospital admissions", US_national_yearly!$D:$AM, 10, FALSE), 1)</f>
        <v>5.9894179887587114E-6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6.4799945188299437E-6</v>
      </c>
      <c r="C13" s="7">
        <f>$B13 * IFERROR(VLOOKUP("industry|NOx|Non-fatal heart attacks", US_national_yearly!$D:$AM, 11, FALSE) / VLOOKUP("industry|NOx|Non-fatal heart attacks", US_national_yearly!$D:$AM, 10, FALSE), 1)</f>
        <v>6.6651341718823969E-6</v>
      </c>
      <c r="D13" s="7">
        <f>$B13 * IFERROR(VLOOKUP("industry|NOx|Non-fatal heart attacks", US_national_yearly!$D:$AM, 12, FALSE) / VLOOKUP("industry|NOx|Non-fatal heart attacks", US_national_yearly!$D:$AM, 10, FALSE), 1)</f>
        <v>6.8502738249348493E-6</v>
      </c>
      <c r="E13" s="7">
        <f>$B13 * IFERROR(VLOOKUP("industry|NOx|Non-fatal heart attacks", US_national_yearly!$D:$AM, 13, FALSE) / VLOOKUP("industry|NOx|Non-fatal heart attacks", US_national_yearly!$D:$AM, 10, FALSE), 1)</f>
        <v>7.0354134779873025E-6</v>
      </c>
      <c r="F13" s="7">
        <f>$B13 * IFERROR(VLOOKUP("industry|NOx|Non-fatal heart attacks", US_national_yearly!$D:$AM, 14, FALSE) / VLOOKUP("industry|NOx|Non-fatal heart attacks", US_national_yearly!$D:$AM, 10, FALSE), 1)</f>
        <v>7.2205531310397549E-6</v>
      </c>
      <c r="G13" s="7">
        <f>$B13 * IFERROR(VLOOKUP("industry|NOx|Non-fatal heart attacks", US_national_yearly!$D:$AM, 15, FALSE) / VLOOKUP("industry|NOx|Non-fatal heart attacks", US_national_yearly!$D:$AM, 10, FALSE), 1)</f>
        <v>7.3937126387920744E-6</v>
      </c>
      <c r="H13" s="7">
        <f>$B13 * IFERROR(VLOOKUP("industry|NOx|Non-fatal heart attacks", US_national_yearly!$D:$AM, 16, FALSE) / VLOOKUP("industry|NOx|Non-fatal heart attacks", US_national_yearly!$D:$AM, 10, FALSE), 1)</f>
        <v>7.5668721465443922E-6</v>
      </c>
      <c r="I13" s="7">
        <f>$B13 * IFERROR(VLOOKUP("industry|NOx|Non-fatal heart attacks", US_national_yearly!$D:$AM, 17, FALSE) / VLOOKUP("industry|NOx|Non-fatal heart attacks", US_national_yearly!$D:$AM, 10, FALSE), 1)</f>
        <v>7.7038231147934255E-6</v>
      </c>
      <c r="J13" s="7">
        <f>$B13 * IFERROR(VLOOKUP("industry|NOx|Non-fatal heart attacks", US_national_yearly!$D:$AM, 18, FALSE) / VLOOKUP("industry|NOx|Non-fatal heart attacks", US_national_yearly!$D:$AM, 10, FALSE), 1)</f>
        <v>7.840774083042458E-6</v>
      </c>
      <c r="K13" s="7">
        <f>$B13 * IFERROR(VLOOKUP("industry|NOx|Non-fatal heart attacks", US_national_yearly!$D:$AM, 19, FALSE) / VLOOKUP("industry|NOx|Non-fatal heart attacks", US_national_yearly!$D:$AM, 10, FALSE), 1)</f>
        <v>7.9777250512914871E-6</v>
      </c>
      <c r="L13" s="7">
        <f>$B13 * IFERROR(VLOOKUP("industry|NOx|Non-fatal heart attacks", US_national_yearly!$D:$AM, 20, FALSE) / VLOOKUP("industry|NOx|Non-fatal heart attacks", US_national_yearly!$D:$AM, 10, FALSE), 1)</f>
        <v>8.114676019540523E-6</v>
      </c>
      <c r="M13" s="7">
        <f>$B13 * IFERROR(VLOOKUP("industry|NOx|Non-fatal heart attacks", US_national_yearly!$D:$AM, 21, FALSE) / VLOOKUP("industry|NOx|Non-fatal heart attacks", US_national_yearly!$D:$AM, 10, FALSE), 1)</f>
        <v>8.2516269877895572E-6</v>
      </c>
      <c r="N13" s="7">
        <f>$B13 * IFERROR(VLOOKUP("industry|NOx|Non-fatal heart attacks", US_national_yearly!$D:$AM, 22, FALSE) / VLOOKUP("industry|NOx|Non-fatal heart attacks", US_national_yearly!$D:$AM, 10, FALSE), 1)</f>
        <v>8.3341333731406822E-6</v>
      </c>
      <c r="O13" s="7">
        <f>$B13 * IFERROR(VLOOKUP("industry|NOx|Non-fatal heart attacks", US_national_yearly!$D:$AM, 23, FALSE) / VLOOKUP("industry|NOx|Non-fatal heart attacks", US_national_yearly!$D:$AM, 10, FALSE), 1)</f>
        <v>8.4166397584918073E-6</v>
      </c>
      <c r="P13" s="7">
        <f>$B13 * IFERROR(VLOOKUP("industry|NOx|Non-fatal heart attacks", US_national_yearly!$D:$AM, 24, FALSE) / VLOOKUP("industry|NOx|Non-fatal heart attacks", US_national_yearly!$D:$AM, 10, FALSE), 1)</f>
        <v>8.4991461438429323E-6</v>
      </c>
      <c r="Q13" s="7">
        <f>$B13 * IFERROR(VLOOKUP("industry|NOx|Non-fatal heart attacks", US_national_yearly!$D:$AM, 25, FALSE) / VLOOKUP("industry|NOx|Non-fatal heart attacks", US_national_yearly!$D:$AM, 10, FALSE), 1)</f>
        <v>8.5816525291940557E-6</v>
      </c>
      <c r="R13" s="7">
        <f>$B13 * IFERROR(VLOOKUP("industry|NOx|Non-fatal heart attacks", US_national_yearly!$D:$AM, 26, FALSE) / VLOOKUP("industry|NOx|Non-fatal heart attacks", US_national_yearly!$D:$AM, 10, FALSE), 1)</f>
        <v>8.6641589145451807E-6</v>
      </c>
      <c r="S13" s="7">
        <f>$B13 * IFERROR(VLOOKUP("industry|NOx|Non-fatal heart attacks", US_national_yearly!$D:$AM, 27, FALSE) / VLOOKUP("industry|NOx|Non-fatal heart attacks", US_national_yearly!$D:$AM, 10, FALSE), 1)</f>
        <v>8.7020144898510379E-6</v>
      </c>
      <c r="T13" s="7">
        <f>$B13 * IFERROR(VLOOKUP("industry|NOx|Non-fatal heart attacks", US_national_yearly!$D:$AM, 28, FALSE) / VLOOKUP("industry|NOx|Non-fatal heart attacks", US_national_yearly!$D:$AM, 10, FALSE), 1)</f>
        <v>8.7398700651568935E-6</v>
      </c>
      <c r="U13" s="7">
        <f>$B13 * IFERROR(VLOOKUP("industry|NOx|Non-fatal heart attacks", US_national_yearly!$D:$AM, 29, FALSE) / VLOOKUP("industry|NOx|Non-fatal heart attacks", US_national_yearly!$D:$AM, 10, FALSE), 1)</f>
        <v>8.777725640462749E-6</v>
      </c>
      <c r="V13" s="7">
        <f>$B13 * IFERROR(VLOOKUP("industry|NOx|Non-fatal heart attacks", US_national_yearly!$D:$AM, 30, FALSE) / VLOOKUP("industry|NOx|Non-fatal heart attacks", US_national_yearly!$D:$AM, 10, FALSE), 1)</f>
        <v>8.8155812157686079E-6</v>
      </c>
      <c r="W13" s="7">
        <f>$B13 * IFERROR(VLOOKUP("industry|NOx|Non-fatal heart attacks", US_national_yearly!$D:$AM, 31, FALSE) / VLOOKUP("industry|NOx|Non-fatal heart attacks", US_national_yearly!$D:$AM, 10, FALSE), 1)</f>
        <v>8.8534367910744635E-6</v>
      </c>
      <c r="X13" s="7">
        <f>$B13 * IFERROR(VLOOKUP("industry|NOx|Non-fatal heart attacks", US_national_yearly!$D:$AM, 32, FALSE) / VLOOKUP("industry|NOx|Non-fatal heart attacks", US_national_yearly!$D:$AM, 10, FALSE), 1)</f>
        <v>8.8789851571531362E-6</v>
      </c>
      <c r="Y13" s="7">
        <f>$B13 * IFERROR(VLOOKUP("industry|NOx|Non-fatal heart attacks", US_national_yearly!$D:$AM, 33, FALSE) / VLOOKUP("industry|NOx|Non-fatal heart attacks", US_national_yearly!$D:$AM, 10, FALSE), 1)</f>
        <v>8.9045335232318107E-6</v>
      </c>
      <c r="Z13" s="7">
        <f>$B13 * IFERROR(VLOOKUP("industry|NOx|Non-fatal heart attacks", US_national_yearly!$D:$AM, 34, FALSE) / VLOOKUP("industry|NOx|Non-fatal heart attacks", US_national_yearly!$D:$AM, 10, FALSE), 1)</f>
        <v>8.9300818893104851E-6</v>
      </c>
      <c r="AA13" s="7">
        <f>$B13 * IFERROR(VLOOKUP("industry|NOx|Non-fatal heart attacks", US_national_yearly!$D:$AM, 35, FALSE) / VLOOKUP("industry|NOx|Non-fatal heart attacks", US_national_yearly!$D:$AM, 10, FALSE), 1)</f>
        <v>8.9556302553891596E-6</v>
      </c>
      <c r="AB13" s="7">
        <f>$B13 * IFERROR(VLOOKUP("industry|NOx|Non-fatal heart attacks", US_national_yearly!$D:$AM, 36, FALSE) / VLOOKUP("industry|NOx|Non-fatal heart attacks", US_national_yearly!$D:$AM, 10, FALSE), 1)</f>
        <v>8.981178621467834E-6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2.7216300746283797E-2</v>
      </c>
      <c r="C14" s="7">
        <f>$B14 * IFERROR(VLOOKUP("industry|NOx|Minor restricted activity days", US_national_yearly!$D:$AM, 11, FALSE) / VLOOKUP("industry|NOx|Minor restricted activity days", US_national_yearly!$D:$AM, 10, FALSE), 1)</f>
        <v>2.7256623795972098E-2</v>
      </c>
      <c r="D14" s="7">
        <f>$B14 * IFERROR(VLOOKUP("industry|NOx|Minor restricted activity days", US_national_yearly!$D:$AM, 12, FALSE) / VLOOKUP("industry|NOx|Minor restricted activity days", US_national_yearly!$D:$AM, 10, FALSE), 1)</f>
        <v>2.7296946845660391E-2</v>
      </c>
      <c r="E14" s="7">
        <f>$B14 * IFERROR(VLOOKUP("industry|NOx|Minor restricted activity days", US_national_yearly!$D:$AM, 13, FALSE) / VLOOKUP("industry|NOx|Minor restricted activity days", US_national_yearly!$D:$AM, 10, FALSE), 1)</f>
        <v>2.7337269895348692E-2</v>
      </c>
      <c r="F14" s="7">
        <f>$B14 * IFERROR(VLOOKUP("industry|NOx|Minor restricted activity days", US_national_yearly!$D:$AM, 14, FALSE) / VLOOKUP("industry|NOx|Minor restricted activity days", US_national_yearly!$D:$AM, 10, FALSE), 1)</f>
        <v>2.7377592945036989E-2</v>
      </c>
      <c r="G14" s="7">
        <f>$B14 * IFERROR(VLOOKUP("industry|NOx|Minor restricted activity days", US_national_yearly!$D:$AM, 15, FALSE) / VLOOKUP("industry|NOx|Minor restricted activity days", US_national_yearly!$D:$AM, 10, FALSE), 1)</f>
        <v>2.7450997286053477E-2</v>
      </c>
      <c r="H14" s="7">
        <f>$B14 * IFERROR(VLOOKUP("industry|NOx|Minor restricted activity days", US_national_yearly!$D:$AM, 16, FALSE) / VLOOKUP("industry|NOx|Minor restricted activity days", US_national_yearly!$D:$AM, 10, FALSE), 1)</f>
        <v>2.7524401627069966E-2</v>
      </c>
      <c r="I14" s="7">
        <f>$B14 * IFERROR(VLOOKUP("industry|NOx|Minor restricted activity days", US_national_yearly!$D:$AM, 17, FALSE) / VLOOKUP("industry|NOx|Minor restricted activity days", US_national_yearly!$D:$AM, 10, FALSE), 1)</f>
        <v>2.7668908521288182E-2</v>
      </c>
      <c r="J14" s="7">
        <f>$B14 * IFERROR(VLOOKUP("industry|NOx|Minor restricted activity days", US_national_yearly!$D:$AM, 18, FALSE) / VLOOKUP("industry|NOx|Minor restricted activity days", US_national_yearly!$D:$AM, 10, FALSE), 1)</f>
        <v>2.7813415415506391E-2</v>
      </c>
      <c r="K14" s="7">
        <f>$B14 * IFERROR(VLOOKUP("industry|NOx|Minor restricted activity days", US_national_yearly!$D:$AM, 19, FALSE) / VLOOKUP("industry|NOx|Minor restricted activity days", US_national_yearly!$D:$AM, 10, FALSE), 1)</f>
        <v>2.7957922309724593E-2</v>
      </c>
      <c r="L14" s="7">
        <f>$B14 * IFERROR(VLOOKUP("industry|NOx|Minor restricted activity days", US_national_yearly!$D:$AM, 20, FALSE) / VLOOKUP("industry|NOx|Minor restricted activity days", US_national_yearly!$D:$AM, 10, FALSE), 1)</f>
        <v>2.8102429203942809E-2</v>
      </c>
      <c r="M14" s="7">
        <f>$B14 * IFERROR(VLOOKUP("industry|NOx|Minor restricted activity days", US_national_yearly!$D:$AM, 21, FALSE) / VLOOKUP("industry|NOx|Minor restricted activity days", US_national_yearly!$D:$AM, 10, FALSE), 1)</f>
        <v>2.8246936098161018E-2</v>
      </c>
      <c r="N14" s="7">
        <f>$B14 * IFERROR(VLOOKUP("industry|NOx|Minor restricted activity days", US_national_yearly!$D:$AM, 22, FALSE) / VLOOKUP("industry|NOx|Minor restricted activity days", US_national_yearly!$D:$AM, 10, FALSE), 1)</f>
        <v>2.8455035686419654E-2</v>
      </c>
      <c r="O14" s="7">
        <f>$B14 * IFERROR(VLOOKUP("industry|NOx|Minor restricted activity days", US_national_yearly!$D:$AM, 23, FALSE) / VLOOKUP("industry|NOx|Minor restricted activity days", US_national_yearly!$D:$AM, 10, FALSE), 1)</f>
        <v>2.8663135274678293E-2</v>
      </c>
      <c r="P14" s="7">
        <f>$B14 * IFERROR(VLOOKUP("industry|NOx|Minor restricted activity days", US_national_yearly!$D:$AM, 24, FALSE) / VLOOKUP("industry|NOx|Minor restricted activity days", US_national_yearly!$D:$AM, 10, FALSE), 1)</f>
        <v>2.8871234862936936E-2</v>
      </c>
      <c r="Q14" s="7">
        <f>$B14 * IFERROR(VLOOKUP("industry|NOx|Minor restricted activity days", US_national_yearly!$D:$AM, 25, FALSE) / VLOOKUP("industry|NOx|Minor restricted activity days", US_national_yearly!$D:$AM, 10, FALSE), 1)</f>
        <v>2.9079334451195569E-2</v>
      </c>
      <c r="R14" s="7">
        <f>$B14 * IFERROR(VLOOKUP("industry|NOx|Minor restricted activity days", US_national_yearly!$D:$AM, 26, FALSE) / VLOOKUP("industry|NOx|Minor restricted activity days", US_national_yearly!$D:$AM, 10, FALSE), 1)</f>
        <v>2.9287434039454212E-2</v>
      </c>
      <c r="S14" s="7">
        <f>$B14 * IFERROR(VLOOKUP("industry|NOx|Minor restricted activity days", US_national_yearly!$D:$AM, 27, FALSE) / VLOOKUP("industry|NOx|Minor restricted activity days", US_national_yearly!$D:$AM, 10, FALSE), 1)</f>
        <v>2.9495756426170885E-2</v>
      </c>
      <c r="T14" s="7">
        <f>$B14 * IFERROR(VLOOKUP("industry|NOx|Minor restricted activity days", US_national_yearly!$D:$AM, 28, FALSE) / VLOOKUP("industry|NOx|Minor restricted activity days", US_national_yearly!$D:$AM, 10, FALSE), 1)</f>
        <v>2.9704078812887568E-2</v>
      </c>
      <c r="U14" s="7">
        <f>$B14 * IFERROR(VLOOKUP("industry|NOx|Minor restricted activity days", US_national_yearly!$D:$AM, 29, FALSE) / VLOOKUP("industry|NOx|Minor restricted activity days", US_national_yearly!$D:$AM, 10, FALSE), 1)</f>
        <v>2.9912401199604248E-2</v>
      </c>
      <c r="V14" s="7">
        <f>$B14 * IFERROR(VLOOKUP("industry|NOx|Minor restricted activity days", US_national_yearly!$D:$AM, 30, FALSE) / VLOOKUP("industry|NOx|Minor restricted activity days", US_national_yearly!$D:$AM, 10, FALSE), 1)</f>
        <v>3.0120723586320931E-2</v>
      </c>
      <c r="W14" s="7">
        <f>$B14 * IFERROR(VLOOKUP("industry|NOx|Minor restricted activity days", US_national_yearly!$D:$AM, 31, FALSE) / VLOOKUP("industry|NOx|Minor restricted activity days", US_national_yearly!$D:$AM, 10, FALSE), 1)</f>
        <v>3.0329045973037611E-2</v>
      </c>
      <c r="X14" s="7">
        <f>$B14 * IFERROR(VLOOKUP("industry|NOx|Minor restricted activity days", US_national_yearly!$D:$AM, 32, FALSE) / VLOOKUP("industry|NOx|Minor restricted activity days", US_national_yearly!$D:$AM, 10, FALSE), 1)</f>
        <v>3.0504929523780634E-2</v>
      </c>
      <c r="Y14" s="7">
        <f>$B14 * IFERROR(VLOOKUP("industry|NOx|Minor restricted activity days", US_national_yearly!$D:$AM, 33, FALSE) / VLOOKUP("industry|NOx|Minor restricted activity days", US_national_yearly!$D:$AM, 10, FALSE), 1)</f>
        <v>3.0680813074523649E-2</v>
      </c>
      <c r="Z14" s="7">
        <f>$B14 * IFERROR(VLOOKUP("industry|NOx|Minor restricted activity days", US_national_yearly!$D:$AM, 34, FALSE) / VLOOKUP("industry|NOx|Minor restricted activity days", US_national_yearly!$D:$AM, 10, FALSE), 1)</f>
        <v>3.0856696625266664E-2</v>
      </c>
      <c r="AA14" s="7">
        <f>$B14 * IFERROR(VLOOKUP("industry|NOx|Minor restricted activity days", US_national_yearly!$D:$AM, 35, FALSE) / VLOOKUP("industry|NOx|Minor restricted activity days", US_national_yearly!$D:$AM, 10, FALSE), 1)</f>
        <v>3.1032580176009687E-2</v>
      </c>
      <c r="AB14" s="7">
        <f>$B14 * IFERROR(VLOOKUP("industry|NOx|Minor restricted activity days", US_national_yearly!$D:$AM, 36, FALSE) / VLOOKUP("industry|NOx|Minor restricted activity days", US_national_yearly!$D:$AM, 10, FALSE), 1)</f>
        <v>3.1208463726752709E-2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4.6058011414330854E-3</v>
      </c>
      <c r="C15" s="7">
        <f>$B15 * IFERROR(VLOOKUP("industry|NOx|Work loss days", US_national_yearly!$D:$AM, 11, FALSE) / VLOOKUP("industry|NOx|Work loss days", US_national_yearly!$D:$AM, 10, FALSE), 1)</f>
        <v>4.6157804242819575E-3</v>
      </c>
      <c r="D15" s="7">
        <f>$B15 * IFERROR(VLOOKUP("industry|NOx|Work loss days", US_national_yearly!$D:$AM, 12, FALSE) / VLOOKUP("industry|NOx|Work loss days", US_national_yearly!$D:$AM, 10, FALSE), 1)</f>
        <v>4.625759707130828E-3</v>
      </c>
      <c r="E15" s="7">
        <f>$B15 * IFERROR(VLOOKUP("industry|NOx|Work loss days", US_national_yearly!$D:$AM, 13, FALSE) / VLOOKUP("industry|NOx|Work loss days", US_national_yearly!$D:$AM, 10, FALSE), 1)</f>
        <v>4.635738989979701E-3</v>
      </c>
      <c r="F15" s="7">
        <f>$B15 * IFERROR(VLOOKUP("industry|NOx|Work loss days", US_national_yearly!$D:$AM, 14, FALSE) / VLOOKUP("industry|NOx|Work loss days", US_national_yearly!$D:$AM, 10, FALSE), 1)</f>
        <v>4.6457182728285723E-3</v>
      </c>
      <c r="G15" s="7">
        <f>$B15 * IFERROR(VLOOKUP("industry|NOx|Work loss days", US_national_yearly!$D:$AM, 15, FALSE) / VLOOKUP("industry|NOx|Work loss days", US_national_yearly!$D:$AM, 10, FALSE), 1)</f>
        <v>4.6603154607595329E-3</v>
      </c>
      <c r="H15" s="7">
        <f>$B15 * IFERROR(VLOOKUP("industry|NOx|Work loss days", US_national_yearly!$D:$AM, 16, FALSE) / VLOOKUP("industry|NOx|Work loss days", US_national_yearly!$D:$AM, 10, FALSE), 1)</f>
        <v>4.6749126486904935E-3</v>
      </c>
      <c r="I15" s="7">
        <f>$B15 * IFERROR(VLOOKUP("industry|NOx|Work loss days", US_national_yearly!$D:$AM, 17, FALSE) / VLOOKUP("industry|NOx|Work loss days", US_national_yearly!$D:$AM, 10, FALSE), 1)</f>
        <v>4.6986293778941077E-3</v>
      </c>
      <c r="J15" s="7">
        <f>$B15 * IFERROR(VLOOKUP("industry|NOx|Work loss days", US_national_yearly!$D:$AM, 18, FALSE) / VLOOKUP("industry|NOx|Work loss days", US_national_yearly!$D:$AM, 10, FALSE), 1)</f>
        <v>4.722346107097721E-3</v>
      </c>
      <c r="K15" s="7">
        <f>$B15 * IFERROR(VLOOKUP("industry|NOx|Work loss days", US_national_yearly!$D:$AM, 19, FALSE) / VLOOKUP("industry|NOx|Work loss days", US_national_yearly!$D:$AM, 10, FALSE), 1)</f>
        <v>4.7460628363013352E-3</v>
      </c>
      <c r="L15" s="7">
        <f>$B15 * IFERROR(VLOOKUP("industry|NOx|Work loss days", US_national_yearly!$D:$AM, 20, FALSE) / VLOOKUP("industry|NOx|Work loss days", US_national_yearly!$D:$AM, 10, FALSE), 1)</f>
        <v>4.7697795655049485E-3</v>
      </c>
      <c r="M15" s="7">
        <f>$B15 * IFERROR(VLOOKUP("industry|NOx|Work loss days", US_national_yearly!$D:$AM, 21, FALSE) / VLOOKUP("industry|NOx|Work loss days", US_national_yearly!$D:$AM, 10, FALSE), 1)</f>
        <v>4.7934962947085626E-3</v>
      </c>
      <c r="N15" s="7">
        <f>$B15 * IFERROR(VLOOKUP("industry|NOx|Work loss days", US_national_yearly!$D:$AM, 22, FALSE) / VLOOKUP("industry|NOx|Work loss days", US_national_yearly!$D:$AM, 10, FALSE), 1)</f>
        <v>4.8245123981039521E-3</v>
      </c>
      <c r="O15" s="7">
        <f>$B15 * IFERROR(VLOOKUP("industry|NOx|Work loss days", US_national_yearly!$D:$AM, 23, FALSE) / VLOOKUP("industry|NOx|Work loss days", US_national_yearly!$D:$AM, 10, FALSE), 1)</f>
        <v>4.8555285014993425E-3</v>
      </c>
      <c r="P15" s="7">
        <f>$B15 * IFERROR(VLOOKUP("industry|NOx|Work loss days", US_national_yearly!$D:$AM, 24, FALSE) / VLOOKUP("industry|NOx|Work loss days", US_national_yearly!$D:$AM, 10, FALSE), 1)</f>
        <v>4.886544604894732E-3</v>
      </c>
      <c r="Q15" s="7">
        <f>$B15 * IFERROR(VLOOKUP("industry|NOx|Work loss days", US_national_yearly!$D:$AM, 25, FALSE) / VLOOKUP("industry|NOx|Work loss days", US_national_yearly!$D:$AM, 10, FALSE), 1)</f>
        <v>4.9175607082901215E-3</v>
      </c>
      <c r="R15" s="7">
        <f>$B15 * IFERROR(VLOOKUP("industry|NOx|Work loss days", US_national_yearly!$D:$AM, 26, FALSE) / VLOOKUP("industry|NOx|Work loss days", US_national_yearly!$D:$AM, 10, FALSE), 1)</f>
        <v>4.9485768116855127E-3</v>
      </c>
      <c r="S15" s="7">
        <f>$B15 * IFERROR(VLOOKUP("industry|NOx|Work loss days", US_national_yearly!$D:$AM, 27, FALSE) / VLOOKUP("industry|NOx|Work loss days", US_national_yearly!$D:$AM, 10, FALSE), 1)</f>
        <v>4.9832509365770015E-3</v>
      </c>
      <c r="T15" s="7">
        <f>$B15 * IFERROR(VLOOKUP("industry|NOx|Work loss days", US_national_yearly!$D:$AM, 28, FALSE) / VLOOKUP("industry|NOx|Work loss days", US_national_yearly!$D:$AM, 10, FALSE), 1)</f>
        <v>5.0179250614684921E-3</v>
      </c>
      <c r="U15" s="7">
        <f>$B15 * IFERROR(VLOOKUP("industry|NOx|Work loss days", US_national_yearly!$D:$AM, 29, FALSE) / VLOOKUP("industry|NOx|Work loss days", US_national_yearly!$D:$AM, 10, FALSE), 1)</f>
        <v>5.0525991863599826E-3</v>
      </c>
      <c r="V15" s="7">
        <f>$B15 * IFERROR(VLOOKUP("industry|NOx|Work loss days", US_national_yearly!$D:$AM, 30, FALSE) / VLOOKUP("industry|NOx|Work loss days", US_national_yearly!$D:$AM, 10, FALSE), 1)</f>
        <v>5.0872733112514723E-3</v>
      </c>
      <c r="W15" s="7">
        <f>$B15 * IFERROR(VLOOKUP("industry|NOx|Work loss days", US_national_yearly!$D:$AM, 31, FALSE) / VLOOKUP("industry|NOx|Work loss days", US_national_yearly!$D:$AM, 10, FALSE), 1)</f>
        <v>5.1219474361429628E-3</v>
      </c>
      <c r="X15" s="7">
        <f>$B15 * IFERROR(VLOOKUP("industry|NOx|Work loss days", US_national_yearly!$D:$AM, 32, FALSE) / VLOOKUP("industry|NOx|Work loss days", US_national_yearly!$D:$AM, 10, FALSE), 1)</f>
        <v>5.152028448746313E-3</v>
      </c>
      <c r="Y15" s="7">
        <f>$B15 * IFERROR(VLOOKUP("industry|NOx|Work loss days", US_national_yearly!$D:$AM, 33, FALSE) / VLOOKUP("industry|NOx|Work loss days", US_national_yearly!$D:$AM, 10, FALSE), 1)</f>
        <v>5.1821094613496623E-3</v>
      </c>
      <c r="Z15" s="7">
        <f>$B15 * IFERROR(VLOOKUP("industry|NOx|Work loss days", US_national_yearly!$D:$AM, 34, FALSE) / VLOOKUP("industry|NOx|Work loss days", US_national_yearly!$D:$AM, 10, FALSE), 1)</f>
        <v>5.2121904739530125E-3</v>
      </c>
      <c r="AA15" s="7">
        <f>$B15 * IFERROR(VLOOKUP("industry|NOx|Work loss days", US_national_yearly!$D:$AM, 35, FALSE) / VLOOKUP("industry|NOx|Work loss days", US_national_yearly!$D:$AM, 10, FALSE), 1)</f>
        <v>5.2422714865563626E-3</v>
      </c>
      <c r="AB15" s="7">
        <f>$B15 * IFERROR(VLOOKUP("industry|NOx|Work loss days", US_national_yearly!$D:$AM, 36, FALSE) / VLOOKUP("industry|NOx|Work loss days", US_national_yearly!$D:$AM, 10, FALSE), 1)</f>
        <v>5.2723524991597128E-3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7.4661661606610421E-6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7.6853927424143265E-6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7.9046193241676108E-6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8.1238459059208951E-6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8.3430724876741811E-6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8.5514307251263794E-6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8.7597889625785777E-6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8.9354500329488644E-6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9.111111103319151E-6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9.2867721736894377E-6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9.4624332440597244E-6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9.6380943144300094E-6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9.7480653730592241E-6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9.8580364316884354E-6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9.9680074903176483E-6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1.0077978548946863E-5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1.0187949607576074E-5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1.0238681419786178E-5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1.0289413231996284E-5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1.0340145044206388E-5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1.0390876856416492E-5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1.0441608668626597E-5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1.0470271787973767E-5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1.0498934907320939E-5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1.0527598026668109E-5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1.0556261146015279E-5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1.0584924265362453E-5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2.8442414961208734E-4</v>
      </c>
      <c r="C2" s="7">
        <f>$B2 * IFERROR(VLOOKUP("industry|SO2|Premature mortality", US_national_yearly!$D:$AM, 11, FALSE) / VLOOKUP("industry|SO2|Premature mortality", US_national_yearly!$D:$AM, 10, FALSE), 1)</f>
        <v>2.8802976688111729E-4</v>
      </c>
      <c r="D2" s="7">
        <f>$B2 * IFERROR(VLOOKUP("industry|SO2|Premature mortality", US_national_yearly!$D:$AM, 12, FALSE) / VLOOKUP("industry|SO2|Premature mortality", US_national_yearly!$D:$AM, 10, FALSE), 1)</f>
        <v>2.9163538415014713E-4</v>
      </c>
      <c r="E2" s="7">
        <f>$B2 * IFERROR(VLOOKUP("industry|SO2|Premature mortality", US_national_yearly!$D:$AM, 13, FALSE) / VLOOKUP("industry|SO2|Premature mortality", US_national_yearly!$D:$AM, 10, FALSE), 1)</f>
        <v>2.9524100141917702E-4</v>
      </c>
      <c r="F2" s="7">
        <f>$B2 * IFERROR(VLOOKUP("industry|SO2|Premature mortality", US_national_yearly!$D:$AM, 14, FALSE) / VLOOKUP("industry|SO2|Premature mortality", US_national_yearly!$D:$AM, 10, FALSE), 1)</f>
        <v>2.9884661868820691E-4</v>
      </c>
      <c r="G2" s="7">
        <f>$B2 * IFERROR(VLOOKUP("industry|SO2|Premature mortality", US_national_yearly!$D:$AM, 15, FALSE) / VLOOKUP("industry|SO2|Premature mortality", US_national_yearly!$D:$AM, 10, FALSE), 1)</f>
        <v>3.0579631478589949E-4</v>
      </c>
      <c r="H2" s="7">
        <f>$B2 * IFERROR(VLOOKUP("industry|SO2|Premature mortality", US_national_yearly!$D:$AM, 16, FALSE) / VLOOKUP("industry|SO2|Premature mortality", US_national_yearly!$D:$AM, 10, FALSE), 1)</f>
        <v>3.1274601088359207E-4</v>
      </c>
      <c r="I2" s="7">
        <f>$B2 * IFERROR(VLOOKUP("industry|SO2|Premature mortality", US_national_yearly!$D:$AM, 17, FALSE) / VLOOKUP("industry|SO2|Premature mortality", US_national_yearly!$D:$AM, 10, FALSE), 1)</f>
        <v>3.1734789622914753E-4</v>
      </c>
      <c r="J2" s="7">
        <f>$B2 * IFERROR(VLOOKUP("industry|SO2|Premature mortality", US_national_yearly!$D:$AM, 18, FALSE) / VLOOKUP("industry|SO2|Premature mortality", US_national_yearly!$D:$AM, 10, FALSE), 1)</f>
        <v>3.2194978157470294E-4</v>
      </c>
      <c r="K2" s="7">
        <f>$B2 * IFERROR(VLOOKUP("industry|SO2|Premature mortality", US_national_yearly!$D:$AM, 19, FALSE) / VLOOKUP("industry|SO2|Premature mortality", US_national_yearly!$D:$AM, 10, FALSE), 1)</f>
        <v>3.2655166692025829E-4</v>
      </c>
      <c r="L2" s="7">
        <f>$B2 * IFERROR(VLOOKUP("industry|SO2|Premature mortality", US_national_yearly!$D:$AM, 20, FALSE) / VLOOKUP("industry|SO2|Premature mortality", US_national_yearly!$D:$AM, 10, FALSE), 1)</f>
        <v>3.3115355226581375E-4</v>
      </c>
      <c r="M2" s="7">
        <f>$B2 * IFERROR(VLOOKUP("industry|SO2|Premature mortality", US_national_yearly!$D:$AM, 21, FALSE) / VLOOKUP("industry|SO2|Premature mortality", US_national_yearly!$D:$AM, 10, FALSE), 1)</f>
        <v>3.3575543761136915E-4</v>
      </c>
      <c r="N2" s="7">
        <f>$B2 * IFERROR(VLOOKUP("industry|SO2|Premature mortality", US_national_yearly!$D:$AM, 22, FALSE) / VLOOKUP("industry|SO2|Premature mortality", US_national_yearly!$D:$AM, 10, FALSE), 1)</f>
        <v>3.3935520610211813E-4</v>
      </c>
      <c r="O2" s="7">
        <f>$B2 * IFERROR(VLOOKUP("industry|SO2|Premature mortality", US_national_yearly!$D:$AM, 23, FALSE) / VLOOKUP("industry|SO2|Premature mortality", US_national_yearly!$D:$AM, 10, FALSE), 1)</f>
        <v>3.4295497459286715E-4</v>
      </c>
      <c r="P2" s="7">
        <f>$B2 * IFERROR(VLOOKUP("industry|SO2|Premature mortality", US_national_yearly!$D:$AM, 24, FALSE) / VLOOKUP("industry|SO2|Premature mortality", US_national_yearly!$D:$AM, 10, FALSE), 1)</f>
        <v>3.4655474308361618E-4</v>
      </c>
      <c r="Q2" s="7">
        <f>$B2 * IFERROR(VLOOKUP("industry|SO2|Premature mortality", US_national_yearly!$D:$AM, 25, FALSE) / VLOOKUP("industry|SO2|Premature mortality", US_national_yearly!$D:$AM, 10, FALSE), 1)</f>
        <v>3.5015451157436515E-4</v>
      </c>
      <c r="R2" s="7">
        <f>$B2 * IFERROR(VLOOKUP("industry|SO2|Premature mortality", US_national_yearly!$D:$AM, 26, FALSE) / VLOOKUP("industry|SO2|Premature mortality", US_national_yearly!$D:$AM, 10, FALSE), 1)</f>
        <v>3.5375428006511418E-4</v>
      </c>
      <c r="S2" s="7">
        <f>$B2 * IFERROR(VLOOKUP("industry|SO2|Premature mortality", US_national_yearly!$D:$AM, 27, FALSE) / VLOOKUP("industry|SO2|Premature mortality", US_national_yearly!$D:$AM, 10, FALSE), 1)</f>
        <v>3.5569795673641127E-4</v>
      </c>
      <c r="T2" s="7">
        <f>$B2 * IFERROR(VLOOKUP("industry|SO2|Premature mortality", US_national_yearly!$D:$AM, 28, FALSE) / VLOOKUP("industry|SO2|Premature mortality", US_national_yearly!$D:$AM, 10, FALSE), 1)</f>
        <v>3.576416334077084E-4</v>
      </c>
      <c r="U2" s="7">
        <f>$B2 * IFERROR(VLOOKUP("industry|SO2|Premature mortality", US_national_yearly!$D:$AM, 29, FALSE) / VLOOKUP("industry|SO2|Premature mortality", US_national_yearly!$D:$AM, 10, FALSE), 1)</f>
        <v>3.595853100790056E-4</v>
      </c>
      <c r="V2" s="7">
        <f>$B2 * IFERROR(VLOOKUP("industry|SO2|Premature mortality", US_national_yearly!$D:$AM, 30, FALSE) / VLOOKUP("industry|SO2|Premature mortality", US_national_yearly!$D:$AM, 10, FALSE), 1)</f>
        <v>3.6152898675030274E-4</v>
      </c>
      <c r="W2" s="7">
        <f>$B2 * IFERROR(VLOOKUP("industry|SO2|Premature mortality", US_national_yearly!$D:$AM, 31, FALSE) / VLOOKUP("industry|SO2|Premature mortality", US_national_yearly!$D:$AM, 10, FALSE), 1)</f>
        <v>3.6347266342159993E-4</v>
      </c>
      <c r="X2" s="7">
        <f>$B2 * IFERROR(VLOOKUP("industry|SO2|Premature mortality", US_national_yearly!$D:$AM, 32, FALSE) / VLOOKUP("industry|SO2|Premature mortality", US_national_yearly!$D:$AM, 10, FALSE), 1)</f>
        <v>3.638910019504323E-4</v>
      </c>
      <c r="Y2" s="7">
        <f>$B2 * IFERROR(VLOOKUP("industry|SO2|Premature mortality", US_national_yearly!$D:$AM, 33, FALSE) / VLOOKUP("industry|SO2|Premature mortality", US_national_yearly!$D:$AM, 10, FALSE), 1)</f>
        <v>3.6430934047926473E-4</v>
      </c>
      <c r="Z2" s="7">
        <f>$B2 * IFERROR(VLOOKUP("industry|SO2|Premature mortality", US_national_yearly!$D:$AM, 34, FALSE) / VLOOKUP("industry|SO2|Premature mortality", US_national_yearly!$D:$AM, 10, FALSE), 1)</f>
        <v>3.6472767900809722E-4</v>
      </c>
      <c r="AA2" s="7">
        <f>$B2 * IFERROR(VLOOKUP("industry|SO2|Premature mortality", US_national_yearly!$D:$AM, 35, FALSE) / VLOOKUP("industry|SO2|Premature mortality", US_national_yearly!$D:$AM, 10, FALSE), 1)</f>
        <v>3.6514601753692965E-4</v>
      </c>
      <c r="AB2" s="7">
        <f>$B2 * IFERROR(VLOOKUP("industry|SO2|Premature mortality", US_national_yearly!$D:$AM, 36, FALSE) / VLOOKUP("industry|SO2|Premature mortality", US_national_yearly!$D:$AM, 10, FALSE), 1)</f>
        <v>3.6556435606576208E-4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5.8961941990761747E-7</v>
      </c>
      <c r="C3" s="7">
        <f>$B3 * IFERROR(VLOOKUP("industry|SO2|Infant mortality", US_national_yearly!$D:$AM, 11, FALSE) / VLOOKUP("industry|SO2|Infant mortality", US_national_yearly!$D:$AM, 10, FALSE), 1)</f>
        <v>5.8454687856861309E-7</v>
      </c>
      <c r="D3" s="7">
        <f>$B3 * IFERROR(VLOOKUP("industry|SO2|Infant mortality", US_national_yearly!$D:$AM, 12, FALSE) / VLOOKUP("industry|SO2|Infant mortality", US_national_yearly!$D:$AM, 10, FALSE), 1)</f>
        <v>5.7947433722960882E-7</v>
      </c>
      <c r="E3" s="7">
        <f>$B3 * IFERROR(VLOOKUP("industry|SO2|Infant mortality", US_national_yearly!$D:$AM, 13, FALSE) / VLOOKUP("industry|SO2|Infant mortality", US_national_yearly!$D:$AM, 10, FALSE), 1)</f>
        <v>5.7440179589060454E-7</v>
      </c>
      <c r="F3" s="7">
        <f>$B3 * IFERROR(VLOOKUP("industry|SO2|Infant mortality", US_national_yearly!$D:$AM, 14, FALSE) / VLOOKUP("industry|SO2|Infant mortality", US_national_yearly!$D:$AM, 10, FALSE), 1)</f>
        <v>5.6932925455160027E-7</v>
      </c>
      <c r="G3" s="7">
        <f>$B3 * IFERROR(VLOOKUP("industry|SO2|Infant mortality", US_national_yearly!$D:$AM, 15, FALSE) / VLOOKUP("industry|SO2|Infant mortality", US_national_yearly!$D:$AM, 10, FALSE), 1)</f>
        <v>3.7900154323657893E-7</v>
      </c>
      <c r="H3" s="7">
        <f>$B3 * IFERROR(VLOOKUP("industry|SO2|Infant mortality", US_national_yearly!$D:$AM, 16, FALSE) / VLOOKUP("industry|SO2|Infant mortality", US_national_yearly!$D:$AM, 10, FALSE), 1)</f>
        <v>1.8867383192155761E-7</v>
      </c>
      <c r="I3" s="7">
        <f>$B3 * IFERROR(VLOOKUP("industry|SO2|Infant mortality", US_national_yearly!$D:$AM, 17, FALSE) / VLOOKUP("industry|SO2|Infant mortality", US_national_yearly!$D:$AM, 10, FALSE), 1)</f>
        <v>1.8747576918098501E-7</v>
      </c>
      <c r="J3" s="7">
        <f>$B3 * IFERROR(VLOOKUP("industry|SO2|Infant mortality", US_national_yearly!$D:$AM, 18, FALSE) / VLOOKUP("industry|SO2|Infant mortality", US_national_yearly!$D:$AM, 10, FALSE), 1)</f>
        <v>1.8627770644041241E-7</v>
      </c>
      <c r="K3" s="7">
        <f>$B3 * IFERROR(VLOOKUP("industry|SO2|Infant mortality", US_national_yearly!$D:$AM, 19, FALSE) / VLOOKUP("industry|SO2|Infant mortality", US_national_yearly!$D:$AM, 10, FALSE), 1)</f>
        <v>1.8507964369983981E-7</v>
      </c>
      <c r="L3" s="7">
        <f>$B3 * IFERROR(VLOOKUP("industry|SO2|Infant mortality", US_national_yearly!$D:$AM, 20, FALSE) / VLOOKUP("industry|SO2|Infant mortality", US_national_yearly!$D:$AM, 10, FALSE), 1)</f>
        <v>1.8388158095926721E-7</v>
      </c>
      <c r="M3" s="7">
        <f>$B3 * IFERROR(VLOOKUP("industry|SO2|Infant mortality", US_national_yearly!$D:$AM, 21, FALSE) / VLOOKUP("industry|SO2|Infant mortality", US_national_yearly!$D:$AM, 10, FALSE), 1)</f>
        <v>1.8268351821869461E-7</v>
      </c>
      <c r="N3" s="7">
        <f>$B3 * IFERROR(VLOOKUP("industry|SO2|Infant mortality", US_national_yearly!$D:$AM, 22, FALSE) / VLOOKUP("industry|SO2|Infant mortality", US_national_yearly!$D:$AM, 10, FALSE), 1)</f>
        <v>1.8192418042528362E-7</v>
      </c>
      <c r="O3" s="7">
        <f>$B3 * IFERROR(VLOOKUP("industry|SO2|Infant mortality", US_national_yearly!$D:$AM, 23, FALSE) / VLOOKUP("industry|SO2|Infant mortality", US_national_yearly!$D:$AM, 10, FALSE), 1)</f>
        <v>1.8116484263187263E-7</v>
      </c>
      <c r="P3" s="7">
        <f>$B3 * IFERROR(VLOOKUP("industry|SO2|Infant mortality", US_national_yearly!$D:$AM, 24, FALSE) / VLOOKUP("industry|SO2|Infant mortality", US_national_yearly!$D:$AM, 10, FALSE), 1)</f>
        <v>1.8040550483846167E-7</v>
      </c>
      <c r="Q3" s="7">
        <f>$B3 * IFERROR(VLOOKUP("industry|SO2|Infant mortality", US_national_yearly!$D:$AM, 25, FALSE) / VLOOKUP("industry|SO2|Infant mortality", US_national_yearly!$D:$AM, 10, FALSE), 1)</f>
        <v>1.7964616704505068E-7</v>
      </c>
      <c r="R3" s="7">
        <f>$B3 * IFERROR(VLOOKUP("industry|SO2|Infant mortality", US_national_yearly!$D:$AM, 26, FALSE) / VLOOKUP("industry|SO2|Infant mortality", US_national_yearly!$D:$AM, 10, FALSE), 1)</f>
        <v>1.7888682925163969E-7</v>
      </c>
      <c r="S3" s="7">
        <f>$B3 * IFERROR(VLOOKUP("industry|SO2|Infant mortality", US_national_yearly!$D:$AM, 27, FALSE) / VLOOKUP("industry|SO2|Infant mortality", US_national_yearly!$D:$AM, 10, FALSE), 1)</f>
        <v>1.7794184203002544E-7</v>
      </c>
      <c r="T3" s="7">
        <f>$B3 * IFERROR(VLOOKUP("industry|SO2|Infant mortality", US_national_yearly!$D:$AM, 28, FALSE) / VLOOKUP("industry|SO2|Infant mortality", US_national_yearly!$D:$AM, 10, FALSE), 1)</f>
        <v>1.7699685480841116E-7</v>
      </c>
      <c r="U3" s="7">
        <f>$B3 * IFERROR(VLOOKUP("industry|SO2|Infant mortality", US_national_yearly!$D:$AM, 29, FALSE) / VLOOKUP("industry|SO2|Infant mortality", US_national_yearly!$D:$AM, 10, FALSE), 1)</f>
        <v>1.7605186758679691E-7</v>
      </c>
      <c r="V3" s="7">
        <f>$B3 * IFERROR(VLOOKUP("industry|SO2|Infant mortality", US_national_yearly!$D:$AM, 30, FALSE) / VLOOKUP("industry|SO2|Infant mortality", US_national_yearly!$D:$AM, 10, FALSE), 1)</f>
        <v>1.7510688036518263E-7</v>
      </c>
      <c r="W3" s="7">
        <f>$B3 * IFERROR(VLOOKUP("industry|SO2|Infant mortality", US_national_yearly!$D:$AM, 31, FALSE) / VLOOKUP("industry|SO2|Infant mortality", US_national_yearly!$D:$AM, 10, FALSE), 1)</f>
        <v>1.7416189314356838E-7</v>
      </c>
      <c r="X3" s="7">
        <f>$B3 * IFERROR(VLOOKUP("industry|SO2|Infant mortality", US_national_yearly!$D:$AM, 32, FALSE) / VLOOKUP("industry|SO2|Infant mortality", US_national_yearly!$D:$AM, 10, FALSE), 1)</f>
        <v>1.7313497403779239E-7</v>
      </c>
      <c r="Y3" s="7">
        <f>$B3 * IFERROR(VLOOKUP("industry|SO2|Infant mortality", US_national_yearly!$D:$AM, 33, FALSE) / VLOOKUP("industry|SO2|Infant mortality", US_national_yearly!$D:$AM, 10, FALSE), 1)</f>
        <v>1.721080549320164E-7</v>
      </c>
      <c r="Z3" s="7">
        <f>$B3 * IFERROR(VLOOKUP("industry|SO2|Infant mortality", US_national_yearly!$D:$AM, 34, FALSE) / VLOOKUP("industry|SO2|Infant mortality", US_national_yearly!$D:$AM, 10, FALSE), 1)</f>
        <v>1.7108113582624044E-7</v>
      </c>
      <c r="AA3" s="7">
        <f>$B3 * IFERROR(VLOOKUP("industry|SO2|Infant mortality", US_national_yearly!$D:$AM, 35, FALSE) / VLOOKUP("industry|SO2|Infant mortality", US_national_yearly!$D:$AM, 10, FALSE), 1)</f>
        <v>1.7005421672046445E-7</v>
      </c>
      <c r="AB3" s="7">
        <f>$B3 * IFERROR(VLOOKUP("industry|SO2|Infant mortality", US_national_yearly!$D:$AM, 36, FALSE) / VLOOKUP("industry|SO2|Infant mortality", US_national_yearly!$D:$AM, 10, FALSE), 1)</f>
        <v>1.6902729761468846E-7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6.2872760697170254E-4</v>
      </c>
      <c r="C6" s="7">
        <f>$B6 * IFERROR(VLOOKUP("industry|SO2|Asthma symptoms cough", US_national_yearly!$D:$AM, 11, FALSE) / VLOOKUP("industry|SO2|Asthma symptoms cough", US_national_yearly!$D:$AM, 10, FALSE), 1)</f>
        <v>6.2872760697170254E-4</v>
      </c>
      <c r="D6" s="7">
        <f>$B6 * IFERROR(VLOOKUP("industry|SO2|Asthma symptoms cough", US_national_yearly!$D:$AM, 12, FALSE) / VLOOKUP("industry|SO2|Asthma symptoms cough", US_national_yearly!$D:$AM, 10, FALSE), 1)</f>
        <v>6.2872760697170254E-4</v>
      </c>
      <c r="E6" s="7">
        <f>$B6 * IFERROR(VLOOKUP("industry|SO2|Asthma symptoms cough", US_national_yearly!$D:$AM, 13, FALSE) / VLOOKUP("industry|SO2|Asthma symptoms cough", US_national_yearly!$D:$AM, 10, FALSE), 1)</f>
        <v>6.2872760697170254E-4</v>
      </c>
      <c r="F6" s="7">
        <f>$B6 * IFERROR(VLOOKUP("industry|SO2|Asthma symptoms cough", US_national_yearly!$D:$AM, 14, FALSE) / VLOOKUP("industry|SO2|Asthma symptoms cough", US_national_yearly!$D:$AM, 10, FALSE), 1)</f>
        <v>6.2872760697170254E-4</v>
      </c>
      <c r="G6" s="7">
        <f>$B6 * IFERROR(VLOOKUP("industry|SO2|Asthma symptoms cough", US_national_yearly!$D:$AM, 15, FALSE) / VLOOKUP("industry|SO2|Asthma symptoms cough", US_national_yearly!$D:$AM, 10, FALSE), 1)</f>
        <v>6.2872760697170254E-4</v>
      </c>
      <c r="H6" s="7">
        <f>$B6 * IFERROR(VLOOKUP("industry|SO2|Asthma symptoms cough", US_national_yearly!$D:$AM, 16, FALSE) / VLOOKUP("industry|SO2|Asthma symptoms cough", US_national_yearly!$D:$AM, 10, FALSE), 1)</f>
        <v>6.2872760697170254E-4</v>
      </c>
      <c r="I6" s="7">
        <f>$B6 * IFERROR(VLOOKUP("industry|SO2|Asthma symptoms cough", US_national_yearly!$D:$AM, 17, FALSE) / VLOOKUP("industry|SO2|Asthma symptoms cough", US_national_yearly!$D:$AM, 10, FALSE), 1)</f>
        <v>6.2872760697170254E-4</v>
      </c>
      <c r="J6" s="7">
        <f>$B6 * IFERROR(VLOOKUP("industry|SO2|Asthma symptoms cough", US_national_yearly!$D:$AM, 18, FALSE) / VLOOKUP("industry|SO2|Asthma symptoms cough", US_national_yearly!$D:$AM, 10, FALSE), 1)</f>
        <v>6.2872760697170254E-4</v>
      </c>
      <c r="K6" s="7">
        <f>$B6 * IFERROR(VLOOKUP("industry|SO2|Asthma symptoms cough", US_national_yearly!$D:$AM, 19, FALSE) / VLOOKUP("industry|SO2|Asthma symptoms cough", US_national_yearly!$D:$AM, 10, FALSE), 1)</f>
        <v>6.2872760697170254E-4</v>
      </c>
      <c r="L6" s="7">
        <f>$B6 * IFERROR(VLOOKUP("industry|SO2|Asthma symptoms cough", US_national_yearly!$D:$AM, 20, FALSE) / VLOOKUP("industry|SO2|Asthma symptoms cough", US_national_yearly!$D:$AM, 10, FALSE), 1)</f>
        <v>6.2872760697170254E-4</v>
      </c>
      <c r="M6" s="7">
        <f>$B6 * IFERROR(VLOOKUP("industry|SO2|Asthma symptoms cough", US_national_yearly!$D:$AM, 21, FALSE) / VLOOKUP("industry|SO2|Asthma symptoms cough", US_national_yearly!$D:$AM, 10, FALSE), 1)</f>
        <v>6.2872760697170254E-4</v>
      </c>
      <c r="N6" s="7">
        <f>$B6 * IFERROR(VLOOKUP("industry|SO2|Asthma symptoms cough", US_national_yearly!$D:$AM, 22, FALSE) / VLOOKUP("industry|SO2|Asthma symptoms cough", US_national_yearly!$D:$AM, 10, FALSE), 1)</f>
        <v>6.2872760697170254E-4</v>
      </c>
      <c r="O6" s="7">
        <f>$B6 * IFERROR(VLOOKUP("industry|SO2|Asthma symptoms cough", US_national_yearly!$D:$AM, 23, FALSE) / VLOOKUP("industry|SO2|Asthma symptoms cough", US_national_yearly!$D:$AM, 10, FALSE), 1)</f>
        <v>6.2872760697170254E-4</v>
      </c>
      <c r="P6" s="7">
        <f>$B6 * IFERROR(VLOOKUP("industry|SO2|Asthma symptoms cough", US_national_yearly!$D:$AM, 24, FALSE) / VLOOKUP("industry|SO2|Asthma symptoms cough", US_national_yearly!$D:$AM, 10, FALSE), 1)</f>
        <v>6.2872760697170254E-4</v>
      </c>
      <c r="Q6" s="7">
        <f>$B6 * IFERROR(VLOOKUP("industry|SO2|Asthma symptoms cough", US_national_yearly!$D:$AM, 25, FALSE) / VLOOKUP("industry|SO2|Asthma symptoms cough", US_national_yearly!$D:$AM, 10, FALSE), 1)</f>
        <v>6.2872760697170254E-4</v>
      </c>
      <c r="R6" s="7">
        <f>$B6 * IFERROR(VLOOKUP("industry|SO2|Asthma symptoms cough", US_national_yearly!$D:$AM, 26, FALSE) / VLOOKUP("industry|SO2|Asthma symptoms cough", US_national_yearly!$D:$AM, 10, FALSE), 1)</f>
        <v>6.2872760697170254E-4</v>
      </c>
      <c r="S6" s="7">
        <f>$B6 * IFERROR(VLOOKUP("industry|SO2|Asthma symptoms cough", US_national_yearly!$D:$AM, 27, FALSE) / VLOOKUP("industry|SO2|Asthma symptoms cough", US_national_yearly!$D:$AM, 10, FALSE), 1)</f>
        <v>6.2872760697170254E-4</v>
      </c>
      <c r="T6" s="7">
        <f>$B6 * IFERROR(VLOOKUP("industry|SO2|Asthma symptoms cough", US_national_yearly!$D:$AM, 28, FALSE) / VLOOKUP("industry|SO2|Asthma symptoms cough", US_national_yearly!$D:$AM, 10, FALSE), 1)</f>
        <v>6.2872760697170254E-4</v>
      </c>
      <c r="U6" s="7">
        <f>$B6 * IFERROR(VLOOKUP("industry|SO2|Asthma symptoms cough", US_national_yearly!$D:$AM, 29, FALSE) / VLOOKUP("industry|SO2|Asthma symptoms cough", US_national_yearly!$D:$AM, 10, FALSE), 1)</f>
        <v>6.2872760697170254E-4</v>
      </c>
      <c r="V6" s="7">
        <f>$B6 * IFERROR(VLOOKUP("industry|SO2|Asthma symptoms cough", US_national_yearly!$D:$AM, 30, FALSE) / VLOOKUP("industry|SO2|Asthma symptoms cough", US_national_yearly!$D:$AM, 10, FALSE), 1)</f>
        <v>6.2872760697170254E-4</v>
      </c>
      <c r="W6" s="7">
        <f>$B6 * IFERROR(VLOOKUP("industry|SO2|Asthma symptoms cough", US_national_yearly!$D:$AM, 31, FALSE) / VLOOKUP("industry|SO2|Asthma symptoms cough", US_national_yearly!$D:$AM, 10, FALSE), 1)</f>
        <v>6.2872760697170254E-4</v>
      </c>
      <c r="X6" s="7">
        <f>$B6 * IFERROR(VLOOKUP("industry|SO2|Asthma symptoms cough", US_national_yearly!$D:$AM, 32, FALSE) / VLOOKUP("industry|SO2|Asthma symptoms cough", US_national_yearly!$D:$AM, 10, FALSE), 1)</f>
        <v>6.2872760697170254E-4</v>
      </c>
      <c r="Y6" s="7">
        <f>$B6 * IFERROR(VLOOKUP("industry|SO2|Asthma symptoms cough", US_national_yearly!$D:$AM, 33, FALSE) / VLOOKUP("industry|SO2|Asthma symptoms cough", US_national_yearly!$D:$AM, 10, FALSE), 1)</f>
        <v>6.2872760697170254E-4</v>
      </c>
      <c r="Z6" s="7">
        <f>$B6 * IFERROR(VLOOKUP("industry|SO2|Asthma symptoms cough", US_national_yearly!$D:$AM, 34, FALSE) / VLOOKUP("industry|SO2|Asthma symptoms cough", US_national_yearly!$D:$AM, 10, FALSE), 1)</f>
        <v>6.2872760697170254E-4</v>
      </c>
      <c r="AA6" s="7">
        <f>$B6 * IFERROR(VLOOKUP("industry|SO2|Asthma symptoms cough", US_national_yearly!$D:$AM, 35, FALSE) / VLOOKUP("industry|SO2|Asthma symptoms cough", US_national_yearly!$D:$AM, 10, FALSE), 1)</f>
        <v>6.2872760697170254E-4</v>
      </c>
      <c r="AB6" s="7">
        <f>$B6 * IFERROR(VLOOKUP("industry|SO2|Asthma symptoms cough", US_national_yearly!$D:$AM, 36, FALSE) / VLOOKUP("industry|SO2|Asthma symptoms cough", US_national_yearly!$D:$AM, 10, FALSE), 1)</f>
        <v>6.2872760697170254E-4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8.4667217279630225E-4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8.4667217279630225E-4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8.4667217279630225E-4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8.4667217279630225E-4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8.4667217279630225E-4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8.4667217279630225E-4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8.4667217279630225E-4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8.4667217279630225E-4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8.4667217279630225E-4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8.4667217279630225E-4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8.4667217279630225E-4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8.4667217279630225E-4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8.4667217279630225E-4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8.4667217279630225E-4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8.4667217279630225E-4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8.4667217279630225E-4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8.4667217279630225E-4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8.4667217279630225E-4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8.4667217279630225E-4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8.4667217279630225E-4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8.4667217279630225E-4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8.4667217279630225E-4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8.4667217279630225E-4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8.4667217279630225E-4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8.4667217279630225E-4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8.4667217279630225E-4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8.4667217279630225E-4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1.2935743721098382E-3</v>
      </c>
      <c r="C8" s="7">
        <f>$B8 * IFERROR(VLOOKUP("industry|SO2|Asthma symptoms wheeze", US_national_yearly!$D:$AM, 11, FALSE) / VLOOKUP("industry|SO2|Asthma symptoms wheeze", US_national_yearly!$D:$AM, 10, FALSE), 1)</f>
        <v>1.2935743721098382E-3</v>
      </c>
      <c r="D8" s="7">
        <f>$B8 * IFERROR(VLOOKUP("industry|SO2|Asthma symptoms wheeze", US_national_yearly!$D:$AM, 12, FALSE) / VLOOKUP("industry|SO2|Asthma symptoms wheeze", US_national_yearly!$D:$AM, 10, FALSE), 1)</f>
        <v>1.2935743721098382E-3</v>
      </c>
      <c r="E8" s="7">
        <f>$B8 * IFERROR(VLOOKUP("industry|SO2|Asthma symptoms wheeze", US_national_yearly!$D:$AM, 13, FALSE) / VLOOKUP("industry|SO2|Asthma symptoms wheeze", US_national_yearly!$D:$AM, 10, FALSE), 1)</f>
        <v>1.2935743721098382E-3</v>
      </c>
      <c r="F8" s="7">
        <f>$B8 * IFERROR(VLOOKUP("industry|SO2|Asthma symptoms wheeze", US_national_yearly!$D:$AM, 14, FALSE) / VLOOKUP("industry|SO2|Asthma symptoms wheeze", US_national_yearly!$D:$AM, 10, FALSE), 1)</f>
        <v>1.2935743721098382E-3</v>
      </c>
      <c r="G8" s="7">
        <f>$B8 * IFERROR(VLOOKUP("industry|SO2|Asthma symptoms wheeze", US_national_yearly!$D:$AM, 15, FALSE) / VLOOKUP("industry|SO2|Asthma symptoms wheeze", US_national_yearly!$D:$AM, 10, FALSE), 1)</f>
        <v>1.2935743721098382E-3</v>
      </c>
      <c r="H8" s="7">
        <f>$B8 * IFERROR(VLOOKUP("industry|SO2|Asthma symptoms wheeze", US_national_yearly!$D:$AM, 16, FALSE) / VLOOKUP("industry|SO2|Asthma symptoms wheeze", US_national_yearly!$D:$AM, 10, FALSE), 1)</f>
        <v>1.2935743721098382E-3</v>
      </c>
      <c r="I8" s="7">
        <f>$B8 * IFERROR(VLOOKUP("industry|SO2|Asthma symptoms wheeze", US_national_yearly!$D:$AM, 17, FALSE) / VLOOKUP("industry|SO2|Asthma symptoms wheeze", US_national_yearly!$D:$AM, 10, FALSE), 1)</f>
        <v>1.2935743721098382E-3</v>
      </c>
      <c r="J8" s="7">
        <f>$B8 * IFERROR(VLOOKUP("industry|SO2|Asthma symptoms wheeze", US_national_yearly!$D:$AM, 18, FALSE) / VLOOKUP("industry|SO2|Asthma symptoms wheeze", US_national_yearly!$D:$AM, 10, FALSE), 1)</f>
        <v>1.2935743721098382E-3</v>
      </c>
      <c r="K8" s="7">
        <f>$B8 * IFERROR(VLOOKUP("industry|SO2|Asthma symptoms wheeze", US_national_yearly!$D:$AM, 19, FALSE) / VLOOKUP("industry|SO2|Asthma symptoms wheeze", US_national_yearly!$D:$AM, 10, FALSE), 1)</f>
        <v>1.2935743721098382E-3</v>
      </c>
      <c r="L8" s="7">
        <f>$B8 * IFERROR(VLOOKUP("industry|SO2|Asthma symptoms wheeze", US_national_yearly!$D:$AM, 20, FALSE) / VLOOKUP("industry|SO2|Asthma symptoms wheeze", US_national_yearly!$D:$AM, 10, FALSE), 1)</f>
        <v>1.2935743721098382E-3</v>
      </c>
      <c r="M8" s="7">
        <f>$B8 * IFERROR(VLOOKUP("industry|SO2|Asthma symptoms wheeze", US_national_yearly!$D:$AM, 21, FALSE) / VLOOKUP("industry|SO2|Asthma symptoms wheeze", US_national_yearly!$D:$AM, 10, FALSE), 1)</f>
        <v>1.2935743721098382E-3</v>
      </c>
      <c r="N8" s="7">
        <f>$B8 * IFERROR(VLOOKUP("industry|SO2|Asthma symptoms wheeze", US_national_yearly!$D:$AM, 22, FALSE) / VLOOKUP("industry|SO2|Asthma symptoms wheeze", US_national_yearly!$D:$AM, 10, FALSE), 1)</f>
        <v>1.2935743721098382E-3</v>
      </c>
      <c r="O8" s="7">
        <f>$B8 * IFERROR(VLOOKUP("industry|SO2|Asthma symptoms wheeze", US_national_yearly!$D:$AM, 23, FALSE) / VLOOKUP("industry|SO2|Asthma symptoms wheeze", US_national_yearly!$D:$AM, 10, FALSE), 1)</f>
        <v>1.2935743721098382E-3</v>
      </c>
      <c r="P8" s="7">
        <f>$B8 * IFERROR(VLOOKUP("industry|SO2|Asthma symptoms wheeze", US_national_yearly!$D:$AM, 24, FALSE) / VLOOKUP("industry|SO2|Asthma symptoms wheeze", US_national_yearly!$D:$AM, 10, FALSE), 1)</f>
        <v>1.2935743721098382E-3</v>
      </c>
      <c r="Q8" s="7">
        <f>$B8 * IFERROR(VLOOKUP("industry|SO2|Asthma symptoms wheeze", US_national_yearly!$D:$AM, 25, FALSE) / VLOOKUP("industry|SO2|Asthma symptoms wheeze", US_national_yearly!$D:$AM, 10, FALSE), 1)</f>
        <v>1.2935743721098382E-3</v>
      </c>
      <c r="R8" s="7">
        <f>$B8 * IFERROR(VLOOKUP("industry|SO2|Asthma symptoms wheeze", US_national_yearly!$D:$AM, 26, FALSE) / VLOOKUP("industry|SO2|Asthma symptoms wheeze", US_national_yearly!$D:$AM, 10, FALSE), 1)</f>
        <v>1.2935743721098382E-3</v>
      </c>
      <c r="S8" s="7">
        <f>$B8 * IFERROR(VLOOKUP("industry|SO2|Asthma symptoms wheeze", US_national_yearly!$D:$AM, 27, FALSE) / VLOOKUP("industry|SO2|Asthma symptoms wheeze", US_national_yearly!$D:$AM, 10, FALSE), 1)</f>
        <v>1.2935743721098382E-3</v>
      </c>
      <c r="T8" s="7">
        <f>$B8 * IFERROR(VLOOKUP("industry|SO2|Asthma symptoms wheeze", US_national_yearly!$D:$AM, 28, FALSE) / VLOOKUP("industry|SO2|Asthma symptoms wheeze", US_national_yearly!$D:$AM, 10, FALSE), 1)</f>
        <v>1.2935743721098382E-3</v>
      </c>
      <c r="U8" s="7">
        <f>$B8 * IFERROR(VLOOKUP("industry|SO2|Asthma symptoms wheeze", US_national_yearly!$D:$AM, 29, FALSE) / VLOOKUP("industry|SO2|Asthma symptoms wheeze", US_national_yearly!$D:$AM, 10, FALSE), 1)</f>
        <v>1.2935743721098382E-3</v>
      </c>
      <c r="V8" s="7">
        <f>$B8 * IFERROR(VLOOKUP("industry|SO2|Asthma symptoms wheeze", US_national_yearly!$D:$AM, 30, FALSE) / VLOOKUP("industry|SO2|Asthma symptoms wheeze", US_national_yearly!$D:$AM, 10, FALSE), 1)</f>
        <v>1.2935743721098382E-3</v>
      </c>
      <c r="W8" s="7">
        <f>$B8 * IFERROR(VLOOKUP("industry|SO2|Asthma symptoms wheeze", US_national_yearly!$D:$AM, 31, FALSE) / VLOOKUP("industry|SO2|Asthma symptoms wheeze", US_national_yearly!$D:$AM, 10, FALSE), 1)</f>
        <v>1.2935743721098382E-3</v>
      </c>
      <c r="X8" s="7">
        <f>$B8 * IFERROR(VLOOKUP("industry|SO2|Asthma symptoms wheeze", US_national_yearly!$D:$AM, 32, FALSE) / VLOOKUP("industry|SO2|Asthma symptoms wheeze", US_national_yearly!$D:$AM, 10, FALSE), 1)</f>
        <v>1.2935743721098382E-3</v>
      </c>
      <c r="Y8" s="7">
        <f>$B8 * IFERROR(VLOOKUP("industry|SO2|Asthma symptoms wheeze", US_national_yearly!$D:$AM, 33, FALSE) / VLOOKUP("industry|SO2|Asthma symptoms wheeze", US_national_yearly!$D:$AM, 10, FALSE), 1)</f>
        <v>1.2935743721098382E-3</v>
      </c>
      <c r="Z8" s="7">
        <f>$B8 * IFERROR(VLOOKUP("industry|SO2|Asthma symptoms wheeze", US_national_yearly!$D:$AM, 34, FALSE) / VLOOKUP("industry|SO2|Asthma symptoms wheeze", US_national_yearly!$D:$AM, 10, FALSE), 1)</f>
        <v>1.2935743721098382E-3</v>
      </c>
      <c r="AA8" s="7">
        <f>$B8 * IFERROR(VLOOKUP("industry|SO2|Asthma symptoms wheeze", US_national_yearly!$D:$AM, 35, FALSE) / VLOOKUP("industry|SO2|Asthma symptoms wheeze", US_national_yearly!$D:$AM, 10, FALSE), 1)</f>
        <v>1.2935743721098382E-3</v>
      </c>
      <c r="AB8" s="7">
        <f>$B8 * IFERROR(VLOOKUP("industry|SO2|Asthma symptoms wheeze", US_national_yearly!$D:$AM, 36, FALSE) / VLOOKUP("industry|SO2|Asthma symptoms wheeze", US_national_yearly!$D:$AM, 10, FALSE), 1)</f>
        <v>1.2935743721098382E-3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1.2327295862811024E-5</v>
      </c>
      <c r="C12" s="7">
        <f>$B12 * IFERROR(VLOOKUP("industry|SO2|Respiratory hospital admissions", US_national_yearly!$D:$AM, 11, FALSE) / VLOOKUP("industry|SO2|Respiratory hospital admissions", US_national_yearly!$D:$AM, 10, FALSE), 1)</f>
        <v>1.2399510283123418E-5</v>
      </c>
      <c r="D12" s="7">
        <f>$B12 * IFERROR(VLOOKUP("industry|SO2|Respiratory hospital admissions", US_national_yearly!$D:$AM, 12, FALSE) / VLOOKUP("industry|SO2|Respiratory hospital admissions", US_national_yearly!$D:$AM, 10, FALSE), 1)</f>
        <v>1.2471724703435811E-5</v>
      </c>
      <c r="E12" s="7">
        <f>$B12 * IFERROR(VLOOKUP("industry|SO2|Respiratory hospital admissions", US_national_yearly!$D:$AM, 13, FALSE) / VLOOKUP("industry|SO2|Respiratory hospital admissions", US_national_yearly!$D:$AM, 10, FALSE), 1)</f>
        <v>1.2543939123748205E-5</v>
      </c>
      <c r="F12" s="7">
        <f>$B12 * IFERROR(VLOOKUP("industry|SO2|Respiratory hospital admissions", US_national_yearly!$D:$AM, 14, FALSE) / VLOOKUP("industry|SO2|Respiratory hospital admissions", US_national_yearly!$D:$AM, 10, FALSE), 1)</f>
        <v>1.2616153544060601E-5</v>
      </c>
      <c r="G12" s="7">
        <f>$B12 * IFERROR(VLOOKUP("industry|SO2|Respiratory hospital admissions", US_national_yearly!$D:$AM, 15, FALSE) / VLOOKUP("industry|SO2|Respiratory hospital admissions", US_national_yearly!$D:$AM, 10, FALSE), 1)</f>
        <v>1.2694881231516076E-5</v>
      </c>
      <c r="H12" s="7">
        <f>$B12 * IFERROR(VLOOKUP("industry|SO2|Respiratory hospital admissions", US_national_yearly!$D:$AM, 16, FALSE) / VLOOKUP("industry|SO2|Respiratory hospital admissions", US_national_yearly!$D:$AM, 10, FALSE), 1)</f>
        <v>1.2773608918971548E-5</v>
      </c>
      <c r="I12" s="7">
        <f>$B12 * IFERROR(VLOOKUP("industry|SO2|Respiratory hospital admissions", US_national_yearly!$D:$AM, 17, FALSE) / VLOOKUP("industry|SO2|Respiratory hospital admissions", US_national_yearly!$D:$AM, 10, FALSE), 1)</f>
        <v>1.2850932417120035E-5</v>
      </c>
      <c r="J12" s="7">
        <f>$B12 * IFERROR(VLOOKUP("industry|SO2|Respiratory hospital admissions", US_national_yearly!$D:$AM, 18, FALSE) / VLOOKUP("industry|SO2|Respiratory hospital admissions", US_national_yearly!$D:$AM, 10, FALSE), 1)</f>
        <v>1.2928255915268522E-5</v>
      </c>
      <c r="K12" s="7">
        <f>$B12 * IFERROR(VLOOKUP("industry|SO2|Respiratory hospital admissions", US_national_yearly!$D:$AM, 19, FALSE) / VLOOKUP("industry|SO2|Respiratory hospital admissions", US_national_yearly!$D:$AM, 10, FALSE), 1)</f>
        <v>1.3005579413417007E-5</v>
      </c>
      <c r="L12" s="7">
        <f>$B12 * IFERROR(VLOOKUP("industry|SO2|Respiratory hospital admissions", US_national_yearly!$D:$AM, 20, FALSE) / VLOOKUP("industry|SO2|Respiratory hospital admissions", US_national_yearly!$D:$AM, 10, FALSE), 1)</f>
        <v>1.3082902911565494E-5</v>
      </c>
      <c r="M12" s="7">
        <f>$B12 * IFERROR(VLOOKUP("industry|SO2|Respiratory hospital admissions", US_national_yearly!$D:$AM, 21, FALSE) / VLOOKUP("industry|SO2|Respiratory hospital admissions", US_national_yearly!$D:$AM, 10, FALSE), 1)</f>
        <v>1.3160226409713981E-5</v>
      </c>
      <c r="N12" s="7">
        <f>$B12 * IFERROR(VLOOKUP("industry|SO2|Respiratory hospital admissions", US_national_yearly!$D:$AM, 22, FALSE) / VLOOKUP("industry|SO2|Respiratory hospital admissions", US_national_yearly!$D:$AM, 10, FALSE), 1)</f>
        <v>1.3216178781312547E-5</v>
      </c>
      <c r="O12" s="7">
        <f>$B12 * IFERROR(VLOOKUP("industry|SO2|Respiratory hospital admissions", US_national_yearly!$D:$AM, 23, FALSE) / VLOOKUP("industry|SO2|Respiratory hospital admissions", US_national_yearly!$D:$AM, 10, FALSE), 1)</f>
        <v>1.3272131152911115E-5</v>
      </c>
      <c r="P12" s="7">
        <f>$B12 * IFERROR(VLOOKUP("industry|SO2|Respiratory hospital admissions", US_national_yearly!$D:$AM, 24, FALSE) / VLOOKUP("industry|SO2|Respiratory hospital admissions", US_national_yearly!$D:$AM, 10, FALSE), 1)</f>
        <v>1.3328083524509681E-5</v>
      </c>
      <c r="Q12" s="7">
        <f>$B12 * IFERROR(VLOOKUP("industry|SO2|Respiratory hospital admissions", US_national_yearly!$D:$AM, 25, FALSE) / VLOOKUP("industry|SO2|Respiratory hospital admissions", US_national_yearly!$D:$AM, 10, FALSE), 1)</f>
        <v>1.3384035896108249E-5</v>
      </c>
      <c r="R12" s="7">
        <f>$B12 * IFERROR(VLOOKUP("industry|SO2|Respiratory hospital admissions", US_national_yearly!$D:$AM, 26, FALSE) / VLOOKUP("industry|SO2|Respiratory hospital admissions", US_national_yearly!$D:$AM, 10, FALSE), 1)</f>
        <v>1.3439988267706813E-5</v>
      </c>
      <c r="S12" s="7">
        <f>$B12 * IFERROR(VLOOKUP("industry|SO2|Respiratory hospital admissions", US_national_yearly!$D:$AM, 27, FALSE) / VLOOKUP("industry|SO2|Respiratory hospital admissions", US_national_yearly!$D:$AM, 10, FALSE), 1)</f>
        <v>1.3493162444170214E-5</v>
      </c>
      <c r="T12" s="7">
        <f>$B12 * IFERROR(VLOOKUP("industry|SO2|Respiratory hospital admissions", US_national_yearly!$D:$AM, 28, FALSE) / VLOOKUP("industry|SO2|Respiratory hospital admissions", US_national_yearly!$D:$AM, 10, FALSE), 1)</f>
        <v>1.3546336620633612E-5</v>
      </c>
      <c r="U12" s="7">
        <f>$B12 * IFERROR(VLOOKUP("industry|SO2|Respiratory hospital admissions", US_national_yearly!$D:$AM, 29, FALSE) / VLOOKUP("industry|SO2|Respiratory hospital admissions", US_national_yearly!$D:$AM, 10, FALSE), 1)</f>
        <v>1.3599510797097009E-5</v>
      </c>
      <c r="V12" s="7">
        <f>$B12 * IFERROR(VLOOKUP("industry|SO2|Respiratory hospital admissions", US_national_yearly!$D:$AM, 30, FALSE) / VLOOKUP("industry|SO2|Respiratory hospital admissions", US_national_yearly!$D:$AM, 10, FALSE), 1)</f>
        <v>1.365268497356041E-5</v>
      </c>
      <c r="W12" s="7">
        <f>$B12 * IFERROR(VLOOKUP("industry|SO2|Respiratory hospital admissions", US_national_yearly!$D:$AM, 31, FALSE) / VLOOKUP("industry|SO2|Respiratory hospital admissions", US_national_yearly!$D:$AM, 10, FALSE), 1)</f>
        <v>1.3705859150023807E-5</v>
      </c>
      <c r="X12" s="7">
        <f>$B12 * IFERROR(VLOOKUP("industry|SO2|Respiratory hospital admissions", US_national_yearly!$D:$AM, 32, FALSE) / VLOOKUP("industry|SO2|Respiratory hospital admissions", US_national_yearly!$D:$AM, 10, FALSE), 1)</f>
        <v>1.3756354146769939E-5</v>
      </c>
      <c r="Y12" s="7">
        <f>$B12 * IFERROR(VLOOKUP("industry|SO2|Respiratory hospital admissions", US_national_yearly!$D:$AM, 33, FALSE) / VLOOKUP("industry|SO2|Respiratory hospital admissions", US_national_yearly!$D:$AM, 10, FALSE), 1)</f>
        <v>1.3806849143516072E-5</v>
      </c>
      <c r="Z12" s="7">
        <f>$B12 * IFERROR(VLOOKUP("industry|SO2|Respiratory hospital admissions", US_national_yearly!$D:$AM, 34, FALSE) / VLOOKUP("industry|SO2|Respiratory hospital admissions", US_national_yearly!$D:$AM, 10, FALSE), 1)</f>
        <v>1.3857344140262206E-5</v>
      </c>
      <c r="AA12" s="7">
        <f>$B12 * IFERROR(VLOOKUP("industry|SO2|Respiratory hospital admissions", US_national_yearly!$D:$AM, 35, FALSE) / VLOOKUP("industry|SO2|Respiratory hospital admissions", US_national_yearly!$D:$AM, 10, FALSE), 1)</f>
        <v>1.3907839137008337E-5</v>
      </c>
      <c r="AB12" s="7">
        <f>$B12 * IFERROR(VLOOKUP("industry|SO2|Respiratory hospital admissions", US_national_yearly!$D:$AM, 36, FALSE) / VLOOKUP("industry|SO2|Respiratory hospital admissions", US_national_yearly!$D:$AM, 10, FALSE), 1)</f>
        <v>1.3958334133754471E-5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1.8325669470976778E-5</v>
      </c>
      <c r="C13" s="7">
        <f>$B13 * IFERROR(VLOOKUP("industry|SO2|Non-fatal heart attacks", US_national_yearly!$D:$AM, 11, FALSE) / VLOOKUP("industry|SO2|Non-fatal heart attacks", US_national_yearly!$D:$AM, 10, FALSE), 1)</f>
        <v>1.8863642406565361E-5</v>
      </c>
      <c r="D13" s="7">
        <f>$B13 * IFERROR(VLOOKUP("industry|SO2|Non-fatal heart attacks", US_national_yearly!$D:$AM, 12, FALSE) / VLOOKUP("industry|SO2|Non-fatal heart attacks", US_national_yearly!$D:$AM, 10, FALSE), 1)</f>
        <v>1.940161534215394E-5</v>
      </c>
      <c r="E13" s="7">
        <f>$B13 * IFERROR(VLOOKUP("industry|SO2|Non-fatal heart attacks", US_national_yearly!$D:$AM, 13, FALSE) / VLOOKUP("industry|SO2|Non-fatal heart attacks", US_national_yearly!$D:$AM, 10, FALSE), 1)</f>
        <v>1.9939588277742519E-5</v>
      </c>
      <c r="F13" s="7">
        <f>$B13 * IFERROR(VLOOKUP("industry|SO2|Non-fatal heart attacks", US_national_yearly!$D:$AM, 14, FALSE) / VLOOKUP("industry|SO2|Non-fatal heart attacks", US_national_yearly!$D:$AM, 10, FALSE), 1)</f>
        <v>2.0477561213331104E-5</v>
      </c>
      <c r="G13" s="7">
        <f>$B13 * IFERROR(VLOOKUP("industry|SO2|Non-fatal heart attacks", US_national_yearly!$D:$AM, 15, FALSE) / VLOOKUP("industry|SO2|Non-fatal heart attacks", US_national_yearly!$D:$AM, 10, FALSE), 1)</f>
        <v>2.0985256957809526E-5</v>
      </c>
      <c r="H13" s="7">
        <f>$B13 * IFERROR(VLOOKUP("industry|SO2|Non-fatal heart attacks", US_national_yearly!$D:$AM, 16, FALSE) / VLOOKUP("industry|SO2|Non-fatal heart attacks", US_national_yearly!$D:$AM, 10, FALSE), 1)</f>
        <v>2.149295270228795E-5</v>
      </c>
      <c r="I13" s="7">
        <f>$B13 * IFERROR(VLOOKUP("industry|SO2|Non-fatal heart attacks", US_national_yearly!$D:$AM, 17, FALSE) / VLOOKUP("industry|SO2|Non-fatal heart attacks", US_national_yearly!$D:$AM, 10, FALSE), 1)</f>
        <v>2.190224335144866E-5</v>
      </c>
      <c r="J13" s="7">
        <f>$B13 * IFERROR(VLOOKUP("industry|SO2|Non-fatal heart attacks", US_national_yearly!$D:$AM, 18, FALSE) / VLOOKUP("industry|SO2|Non-fatal heart attacks", US_national_yearly!$D:$AM, 10, FALSE), 1)</f>
        <v>2.231153400060938E-5</v>
      </c>
      <c r="K13" s="7">
        <f>$B13 * IFERROR(VLOOKUP("industry|SO2|Non-fatal heart attacks", US_national_yearly!$D:$AM, 19, FALSE) / VLOOKUP("industry|SO2|Non-fatal heart attacks", US_national_yearly!$D:$AM, 10, FALSE), 1)</f>
        <v>2.2720824649770094E-5</v>
      </c>
      <c r="L13" s="7">
        <f>$B13 * IFERROR(VLOOKUP("industry|SO2|Non-fatal heart attacks", US_national_yearly!$D:$AM, 20, FALSE) / VLOOKUP("industry|SO2|Non-fatal heart attacks", US_national_yearly!$D:$AM, 10, FALSE), 1)</f>
        <v>2.3130115298930807E-5</v>
      </c>
      <c r="M13" s="7">
        <f>$B13 * IFERROR(VLOOKUP("industry|SO2|Non-fatal heart attacks", US_national_yearly!$D:$AM, 21, FALSE) / VLOOKUP("industry|SO2|Non-fatal heart attacks", US_national_yearly!$D:$AM, 10, FALSE), 1)</f>
        <v>2.3539405948091521E-5</v>
      </c>
      <c r="N13" s="7">
        <f>$B13 * IFERROR(VLOOKUP("industry|SO2|Non-fatal heart attacks", US_national_yearly!$D:$AM, 22, FALSE) / VLOOKUP("industry|SO2|Non-fatal heart attacks", US_national_yearly!$D:$AM, 10, FALSE), 1)</f>
        <v>2.3805302959122002E-5</v>
      </c>
      <c r="O13" s="7">
        <f>$B13 * IFERROR(VLOOKUP("industry|SO2|Non-fatal heart attacks", US_national_yearly!$D:$AM, 23, FALSE) / VLOOKUP("industry|SO2|Non-fatal heart attacks", US_national_yearly!$D:$AM, 10, FALSE), 1)</f>
        <v>2.4071199970152494E-5</v>
      </c>
      <c r="P13" s="7">
        <f>$B13 * IFERROR(VLOOKUP("industry|SO2|Non-fatal heart attacks", US_national_yearly!$D:$AM, 24, FALSE) / VLOOKUP("industry|SO2|Non-fatal heart attacks", US_national_yearly!$D:$AM, 10, FALSE), 1)</f>
        <v>2.4337096981182976E-5</v>
      </c>
      <c r="Q13" s="7">
        <f>$B13 * IFERROR(VLOOKUP("industry|SO2|Non-fatal heart attacks", US_national_yearly!$D:$AM, 25, FALSE) / VLOOKUP("industry|SO2|Non-fatal heart attacks", US_national_yearly!$D:$AM, 10, FALSE), 1)</f>
        <v>2.4602993992213458E-5</v>
      </c>
      <c r="R13" s="7">
        <f>$B13 * IFERROR(VLOOKUP("industry|SO2|Non-fatal heart attacks", US_national_yearly!$D:$AM, 26, FALSE) / VLOOKUP("industry|SO2|Non-fatal heart attacks", US_national_yearly!$D:$AM, 10, FALSE), 1)</f>
        <v>2.4868891003243947E-5</v>
      </c>
      <c r="S13" s="7">
        <f>$B13 * IFERROR(VLOOKUP("industry|SO2|Non-fatal heart attacks", US_national_yearly!$D:$AM, 27, FALSE) / VLOOKUP("industry|SO2|Non-fatal heart attacks", US_national_yearly!$D:$AM, 10, FALSE), 1)</f>
        <v>2.5008544022912255E-5</v>
      </c>
      <c r="T13" s="7">
        <f>$B13 * IFERROR(VLOOKUP("industry|SO2|Non-fatal heart attacks", US_national_yearly!$D:$AM, 28, FALSE) / VLOOKUP("industry|SO2|Non-fatal heart attacks", US_national_yearly!$D:$AM, 10, FALSE), 1)</f>
        <v>2.5148197042580562E-5</v>
      </c>
      <c r="U13" s="7">
        <f>$B13 * IFERROR(VLOOKUP("industry|SO2|Non-fatal heart attacks", US_national_yearly!$D:$AM, 29, FALSE) / VLOOKUP("industry|SO2|Non-fatal heart attacks", US_national_yearly!$D:$AM, 10, FALSE), 1)</f>
        <v>2.528785006224887E-5</v>
      </c>
      <c r="V13" s="7">
        <f>$B13 * IFERROR(VLOOKUP("industry|SO2|Non-fatal heart attacks", US_national_yearly!$D:$AM, 30, FALSE) / VLOOKUP("industry|SO2|Non-fatal heart attacks", US_national_yearly!$D:$AM, 10, FALSE), 1)</f>
        <v>2.5427503081917181E-5</v>
      </c>
      <c r="W13" s="7">
        <f>$B13 * IFERROR(VLOOKUP("industry|SO2|Non-fatal heart attacks", US_national_yearly!$D:$AM, 31, FALSE) / VLOOKUP("industry|SO2|Non-fatal heart attacks", US_national_yearly!$D:$AM, 10, FALSE), 1)</f>
        <v>2.5567156101585489E-5</v>
      </c>
      <c r="X13" s="7">
        <f>$B13 * IFERROR(VLOOKUP("industry|SO2|Non-fatal heart attacks", US_national_yearly!$D:$AM, 32, FALSE) / VLOOKUP("industry|SO2|Non-fatal heart attacks", US_national_yearly!$D:$AM, 10, FALSE), 1)</f>
        <v>2.567321854004269E-5</v>
      </c>
      <c r="Y13" s="7">
        <f>$B13 * IFERROR(VLOOKUP("industry|SO2|Non-fatal heart attacks", US_national_yearly!$D:$AM, 33, FALSE) / VLOOKUP("industry|SO2|Non-fatal heart attacks", US_national_yearly!$D:$AM, 10, FALSE), 1)</f>
        <v>2.5779280978499888E-5</v>
      </c>
      <c r="Z13" s="7">
        <f>$B13 * IFERROR(VLOOKUP("industry|SO2|Non-fatal heart attacks", US_national_yearly!$D:$AM, 34, FALSE) / VLOOKUP("industry|SO2|Non-fatal heart attacks", US_national_yearly!$D:$AM, 10, FALSE), 1)</f>
        <v>2.588534341695709E-5</v>
      </c>
      <c r="AA13" s="7">
        <f>$B13 * IFERROR(VLOOKUP("industry|SO2|Non-fatal heart attacks", US_national_yearly!$D:$AM, 35, FALSE) / VLOOKUP("industry|SO2|Non-fatal heart attacks", US_national_yearly!$D:$AM, 10, FALSE), 1)</f>
        <v>2.5991405855414294E-5</v>
      </c>
      <c r="AB13" s="7">
        <f>$B13 * IFERROR(VLOOKUP("industry|SO2|Non-fatal heart attacks", US_national_yearly!$D:$AM, 36, FALSE) / VLOOKUP("industry|SO2|Non-fatal heart attacks", US_national_yearly!$D:$AM, 10, FALSE), 1)</f>
        <v>2.6097468293871496E-5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7.5350930816703202E-2</v>
      </c>
      <c r="C14" s="7">
        <f>$B14 * IFERROR(VLOOKUP("industry|SO2|Minor restricted activity days", US_national_yearly!$D:$AM, 11, FALSE) / VLOOKUP("industry|SO2|Minor restricted activity days", US_national_yearly!$D:$AM, 10, FALSE), 1)</f>
        <v>7.5539412809636941E-2</v>
      </c>
      <c r="D14" s="7">
        <f>$B14 * IFERROR(VLOOKUP("industry|SO2|Minor restricted activity days", US_national_yearly!$D:$AM, 12, FALSE) / VLOOKUP("industry|SO2|Minor restricted activity days", US_national_yearly!$D:$AM, 10, FALSE), 1)</f>
        <v>7.5727894802570653E-2</v>
      </c>
      <c r="E14" s="7">
        <f>$B14 * IFERROR(VLOOKUP("industry|SO2|Minor restricted activity days", US_national_yearly!$D:$AM, 13, FALSE) / VLOOKUP("industry|SO2|Minor restricted activity days", US_national_yearly!$D:$AM, 10, FALSE), 1)</f>
        <v>7.5916376795504392E-2</v>
      </c>
      <c r="F14" s="7">
        <f>$B14 * IFERROR(VLOOKUP("industry|SO2|Minor restricted activity days", US_national_yearly!$D:$AM, 14, FALSE) / VLOOKUP("industry|SO2|Minor restricted activity days", US_national_yearly!$D:$AM, 10, FALSE), 1)</f>
        <v>7.6104858788438132E-2</v>
      </c>
      <c r="G14" s="7">
        <f>$B14 * IFERROR(VLOOKUP("industry|SO2|Minor restricted activity days", US_national_yearly!$D:$AM, 15, FALSE) / VLOOKUP("industry|SO2|Minor restricted activity days", US_national_yearly!$D:$AM, 10, FALSE), 1)</f>
        <v>7.6382133759981333E-2</v>
      </c>
      <c r="H14" s="7">
        <f>$B14 * IFERROR(VLOOKUP("industry|SO2|Minor restricted activity days", US_national_yearly!$D:$AM, 16, FALSE) / VLOOKUP("industry|SO2|Minor restricted activity days", US_national_yearly!$D:$AM, 10, FALSE), 1)</f>
        <v>7.6659408731524506E-2</v>
      </c>
      <c r="I14" s="7">
        <f>$B14 * IFERROR(VLOOKUP("industry|SO2|Minor restricted activity days", US_national_yearly!$D:$AM, 17, FALSE) / VLOOKUP("industry|SO2|Minor restricted activity days", US_national_yearly!$D:$AM, 10, FALSE), 1)</f>
        <v>7.7132246427360995E-2</v>
      </c>
      <c r="J14" s="7">
        <f>$B14 * IFERROR(VLOOKUP("industry|SO2|Minor restricted activity days", US_national_yearly!$D:$AM, 18, FALSE) / VLOOKUP("industry|SO2|Minor restricted activity days", US_national_yearly!$D:$AM, 10, FALSE), 1)</f>
        <v>7.7605084123197485E-2</v>
      </c>
      <c r="K14" s="7">
        <f>$B14 * IFERROR(VLOOKUP("industry|SO2|Minor restricted activity days", US_national_yearly!$D:$AM, 19, FALSE) / VLOOKUP("industry|SO2|Minor restricted activity days", US_national_yearly!$D:$AM, 10, FALSE), 1)</f>
        <v>7.8077921819033974E-2</v>
      </c>
      <c r="L14" s="7">
        <f>$B14 * IFERROR(VLOOKUP("industry|SO2|Minor restricted activity days", US_national_yearly!$D:$AM, 20, FALSE) / VLOOKUP("industry|SO2|Minor restricted activity days", US_national_yearly!$D:$AM, 10, FALSE), 1)</f>
        <v>7.855075951487045E-2</v>
      </c>
      <c r="M14" s="7">
        <f>$B14 * IFERROR(VLOOKUP("industry|SO2|Minor restricted activity days", US_national_yearly!$D:$AM, 21, FALSE) / VLOOKUP("industry|SO2|Minor restricted activity days", US_national_yearly!$D:$AM, 10, FALSE), 1)</f>
        <v>7.9023597210706939E-2</v>
      </c>
      <c r="N14" s="7">
        <f>$B14 * IFERROR(VLOOKUP("industry|SO2|Minor restricted activity days", US_national_yearly!$D:$AM, 22, FALSE) / VLOOKUP("industry|SO2|Minor restricted activity days", US_national_yearly!$D:$AM, 10, FALSE), 1)</f>
        <v>7.9671914558573156E-2</v>
      </c>
      <c r="O14" s="7">
        <f>$B14 * IFERROR(VLOOKUP("industry|SO2|Minor restricted activity days", US_national_yearly!$D:$AM, 23, FALSE) / VLOOKUP("industry|SO2|Minor restricted activity days", US_national_yearly!$D:$AM, 10, FALSE), 1)</f>
        <v>8.0320231906439374E-2</v>
      </c>
      <c r="P14" s="7">
        <f>$B14 * IFERROR(VLOOKUP("industry|SO2|Minor restricted activity days", US_national_yearly!$D:$AM, 24, FALSE) / VLOOKUP("industry|SO2|Minor restricted activity days", US_national_yearly!$D:$AM, 10, FALSE), 1)</f>
        <v>8.0968549254305577E-2</v>
      </c>
      <c r="Q14" s="7">
        <f>$B14 * IFERROR(VLOOKUP("industry|SO2|Minor restricted activity days", US_national_yearly!$D:$AM, 25, FALSE) / VLOOKUP("industry|SO2|Minor restricted activity days", US_national_yearly!$D:$AM, 10, FALSE), 1)</f>
        <v>8.1616866602171809E-2</v>
      </c>
      <c r="R14" s="7">
        <f>$B14 * IFERROR(VLOOKUP("industry|SO2|Minor restricted activity days", US_national_yearly!$D:$AM, 26, FALSE) / VLOOKUP("industry|SO2|Minor restricted activity days", US_national_yearly!$D:$AM, 10, FALSE), 1)</f>
        <v>8.2265183950038026E-2</v>
      </c>
      <c r="S14" s="7">
        <f>$B14 * IFERROR(VLOOKUP("industry|SO2|Minor restricted activity days", US_national_yearly!$D:$AM, 27, FALSE) / VLOOKUP("industry|SO2|Minor restricted activity days", US_national_yearly!$D:$AM, 10, FALSE), 1)</f>
        <v>8.2926844162930821E-2</v>
      </c>
      <c r="T14" s="7">
        <f>$B14 * IFERROR(VLOOKUP("industry|SO2|Minor restricted activity days", US_national_yearly!$D:$AM, 28, FALSE) / VLOOKUP("industry|SO2|Minor restricted activity days", US_national_yearly!$D:$AM, 10, FALSE), 1)</f>
        <v>8.3588504375823616E-2</v>
      </c>
      <c r="U14" s="7">
        <f>$B14 * IFERROR(VLOOKUP("industry|SO2|Minor restricted activity days", US_national_yearly!$D:$AM, 29, FALSE) / VLOOKUP("industry|SO2|Minor restricted activity days", US_national_yearly!$D:$AM, 10, FALSE), 1)</f>
        <v>8.4250164588716397E-2</v>
      </c>
      <c r="V14" s="7">
        <f>$B14 * IFERROR(VLOOKUP("industry|SO2|Minor restricted activity days", US_national_yearly!$D:$AM, 30, FALSE) / VLOOKUP("industry|SO2|Minor restricted activity days", US_national_yearly!$D:$AM, 10, FALSE), 1)</f>
        <v>8.4911824801609206E-2</v>
      </c>
      <c r="W14" s="7">
        <f>$B14 * IFERROR(VLOOKUP("industry|SO2|Minor restricted activity days", US_national_yearly!$D:$AM, 31, FALSE) / VLOOKUP("industry|SO2|Minor restricted activity days", US_national_yearly!$D:$AM, 10, FALSE), 1)</f>
        <v>8.5573485014501988E-2</v>
      </c>
      <c r="X14" s="7">
        <f>$B14 * IFERROR(VLOOKUP("industry|SO2|Minor restricted activity days", US_national_yearly!$D:$AM, 32, FALSE) / VLOOKUP("industry|SO2|Minor restricted activity days", US_national_yearly!$D:$AM, 10, FALSE), 1)</f>
        <v>8.6155277617497125E-2</v>
      </c>
      <c r="Y14" s="7">
        <f>$B14 * IFERROR(VLOOKUP("industry|SO2|Minor restricted activity days", US_national_yearly!$D:$AM, 33, FALSE) / VLOOKUP("industry|SO2|Minor restricted activity days", US_national_yearly!$D:$AM, 10, FALSE), 1)</f>
        <v>8.6737070220492249E-2</v>
      </c>
      <c r="Z14" s="7">
        <f>$B14 * IFERROR(VLOOKUP("industry|SO2|Minor restricted activity days", US_national_yearly!$D:$AM, 34, FALSE) / VLOOKUP("industry|SO2|Minor restricted activity days", US_national_yearly!$D:$AM, 10, FALSE), 1)</f>
        <v>8.7318862823487373E-2</v>
      </c>
      <c r="AA14" s="7">
        <f>$B14 * IFERROR(VLOOKUP("industry|SO2|Minor restricted activity days", US_national_yearly!$D:$AM, 35, FALSE) / VLOOKUP("industry|SO2|Minor restricted activity days", US_national_yearly!$D:$AM, 10, FALSE), 1)</f>
        <v>8.7900655426482496E-2</v>
      </c>
      <c r="AB14" s="7">
        <f>$B14 * IFERROR(VLOOKUP("industry|SO2|Minor restricted activity days", US_national_yearly!$D:$AM, 36, FALSE) / VLOOKUP("industry|SO2|Minor restricted activity days", US_national_yearly!$D:$AM, 10, FALSE), 1)</f>
        <v>8.8482448029477634E-2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1.2736388322836375E-2</v>
      </c>
      <c r="C15" s="7">
        <f>$B15 * IFERROR(VLOOKUP("industry|SO2|Work loss days", US_national_yearly!$D:$AM, 11, FALSE) / VLOOKUP("industry|SO2|Work loss days", US_national_yearly!$D:$AM, 10, FALSE), 1)</f>
        <v>1.2777347108765321E-2</v>
      </c>
      <c r="D15" s="7">
        <f>$B15 * IFERROR(VLOOKUP("industry|SO2|Work loss days", US_national_yearly!$D:$AM, 12, FALSE) / VLOOKUP("industry|SO2|Work loss days", US_national_yearly!$D:$AM, 10, FALSE), 1)</f>
        <v>1.2818305894694272E-2</v>
      </c>
      <c r="E15" s="7">
        <f>$B15 * IFERROR(VLOOKUP("industry|SO2|Work loss days", US_national_yearly!$D:$AM, 13, FALSE) / VLOOKUP("industry|SO2|Work loss days", US_national_yearly!$D:$AM, 10, FALSE), 1)</f>
        <v>1.2859264680623218E-2</v>
      </c>
      <c r="F15" s="7">
        <f>$B15 * IFERROR(VLOOKUP("industry|SO2|Work loss days", US_national_yearly!$D:$AM, 14, FALSE) / VLOOKUP("industry|SO2|Work loss days", US_national_yearly!$D:$AM, 10, FALSE), 1)</f>
        <v>1.2900223466552169E-2</v>
      </c>
      <c r="G15" s="7">
        <f>$B15 * IFERROR(VLOOKUP("industry|SO2|Work loss days", US_national_yearly!$D:$AM, 15, FALSE) / VLOOKUP("industry|SO2|Work loss days", US_national_yearly!$D:$AM, 10, FALSE), 1)</f>
        <v>1.2953685750818393E-2</v>
      </c>
      <c r="H15" s="7">
        <f>$B15 * IFERROR(VLOOKUP("industry|SO2|Work loss days", US_national_yearly!$D:$AM, 16, FALSE) / VLOOKUP("industry|SO2|Work loss days", US_national_yearly!$D:$AM, 10, FALSE), 1)</f>
        <v>1.3007148035084619E-2</v>
      </c>
      <c r="I15" s="7">
        <f>$B15 * IFERROR(VLOOKUP("industry|SO2|Work loss days", US_national_yearly!$D:$AM, 17, FALSE) / VLOOKUP("industry|SO2|Work loss days", US_national_yearly!$D:$AM, 10, FALSE), 1)</f>
        <v>1.3085294829765601E-2</v>
      </c>
      <c r="J15" s="7">
        <f>$B15 * IFERROR(VLOOKUP("industry|SO2|Work loss days", US_national_yearly!$D:$AM, 18, FALSE) / VLOOKUP("industry|SO2|Work loss days", US_national_yearly!$D:$AM, 10, FALSE), 1)</f>
        <v>1.3163441624446581E-2</v>
      </c>
      <c r="K15" s="7">
        <f>$B15 * IFERROR(VLOOKUP("industry|SO2|Work loss days", US_national_yearly!$D:$AM, 19, FALSE) / VLOOKUP("industry|SO2|Work loss days", US_national_yearly!$D:$AM, 10, FALSE), 1)</f>
        <v>1.3241588419127561E-2</v>
      </c>
      <c r="L15" s="7">
        <f>$B15 * IFERROR(VLOOKUP("industry|SO2|Work loss days", US_national_yearly!$D:$AM, 20, FALSE) / VLOOKUP("industry|SO2|Work loss days", US_national_yearly!$D:$AM, 10, FALSE), 1)</f>
        <v>1.3319735213808543E-2</v>
      </c>
      <c r="M15" s="7">
        <f>$B15 * IFERROR(VLOOKUP("industry|SO2|Work loss days", US_national_yearly!$D:$AM, 21, FALSE) / VLOOKUP("industry|SO2|Work loss days", US_national_yearly!$D:$AM, 10, FALSE), 1)</f>
        <v>1.3397882008489523E-2</v>
      </c>
      <c r="N15" s="7">
        <f>$B15 * IFERROR(VLOOKUP("industry|SO2|Work loss days", US_national_yearly!$D:$AM, 22, FALSE) / VLOOKUP("industry|SO2|Work loss days", US_national_yearly!$D:$AM, 10, FALSE), 1)</f>
        <v>1.3496101024684556E-2</v>
      </c>
      <c r="O15" s="7">
        <f>$B15 * IFERROR(VLOOKUP("industry|SO2|Work loss days", US_national_yearly!$D:$AM, 23, FALSE) / VLOOKUP("industry|SO2|Work loss days", US_national_yearly!$D:$AM, 10, FALSE), 1)</f>
        <v>1.3594320040879588E-2</v>
      </c>
      <c r="P15" s="7">
        <f>$B15 * IFERROR(VLOOKUP("industry|SO2|Work loss days", US_national_yearly!$D:$AM, 24, FALSE) / VLOOKUP("industry|SO2|Work loss days", US_national_yearly!$D:$AM, 10, FALSE), 1)</f>
        <v>1.3692539057074621E-2</v>
      </c>
      <c r="Q15" s="7">
        <f>$B15 * IFERROR(VLOOKUP("industry|SO2|Work loss days", US_national_yearly!$D:$AM, 25, FALSE) / VLOOKUP("industry|SO2|Work loss days", US_national_yearly!$D:$AM, 10, FALSE), 1)</f>
        <v>1.3790758073269653E-2</v>
      </c>
      <c r="R15" s="7">
        <f>$B15 * IFERROR(VLOOKUP("industry|SO2|Work loss days", US_national_yearly!$D:$AM, 26, FALSE) / VLOOKUP("industry|SO2|Work loss days", US_national_yearly!$D:$AM, 10, FALSE), 1)</f>
        <v>1.3888977089464686E-2</v>
      </c>
      <c r="S15" s="7">
        <f>$B15 * IFERROR(VLOOKUP("industry|SO2|Work loss days", US_national_yearly!$D:$AM, 27, FALSE) / VLOOKUP("industry|SO2|Work loss days", US_national_yearly!$D:$AM, 10, FALSE), 1)</f>
        <v>1.3998880120723981E-2</v>
      </c>
      <c r="T15" s="7">
        <f>$B15 * IFERROR(VLOOKUP("industry|SO2|Work loss days", US_national_yearly!$D:$AM, 28, FALSE) / VLOOKUP("industry|SO2|Work loss days", US_national_yearly!$D:$AM, 10, FALSE), 1)</f>
        <v>1.410878315198328E-2</v>
      </c>
      <c r="U15" s="7">
        <f>$B15 * IFERROR(VLOOKUP("industry|SO2|Work loss days", US_national_yearly!$D:$AM, 29, FALSE) / VLOOKUP("industry|SO2|Work loss days", US_national_yearly!$D:$AM, 10, FALSE), 1)</f>
        <v>1.4218686183242582E-2</v>
      </c>
      <c r="V15" s="7">
        <f>$B15 * IFERROR(VLOOKUP("industry|SO2|Work loss days", US_national_yearly!$D:$AM, 30, FALSE) / VLOOKUP("industry|SO2|Work loss days", US_national_yearly!$D:$AM, 10, FALSE), 1)</f>
        <v>1.4328589214501877E-2</v>
      </c>
      <c r="W15" s="7">
        <f>$B15 * IFERROR(VLOOKUP("industry|SO2|Work loss days", US_national_yearly!$D:$AM, 31, FALSE) / VLOOKUP("industry|SO2|Work loss days", US_national_yearly!$D:$AM, 10, FALSE), 1)</f>
        <v>1.4438492245761176E-2</v>
      </c>
      <c r="X15" s="7">
        <f>$B15 * IFERROR(VLOOKUP("industry|SO2|Work loss days", US_national_yearly!$D:$AM, 32, FALSE) / VLOOKUP("industry|SO2|Work loss days", US_national_yearly!$D:$AM, 10, FALSE), 1)</f>
        <v>1.4537204169368786E-2</v>
      </c>
      <c r="Y15" s="7">
        <f>$B15 * IFERROR(VLOOKUP("industry|SO2|Work loss days", US_national_yearly!$D:$AM, 33, FALSE) / VLOOKUP("industry|SO2|Work loss days", US_national_yearly!$D:$AM, 10, FALSE), 1)</f>
        <v>1.46359160929764E-2</v>
      </c>
      <c r="Z15" s="7">
        <f>$B15 * IFERROR(VLOOKUP("industry|SO2|Work loss days", US_national_yearly!$D:$AM, 34, FALSE) / VLOOKUP("industry|SO2|Work loss days", US_national_yearly!$D:$AM, 10, FALSE), 1)</f>
        <v>1.4734628016584006E-2</v>
      </c>
      <c r="AA15" s="7">
        <f>$B15 * IFERROR(VLOOKUP("industry|SO2|Work loss days", US_national_yearly!$D:$AM, 35, FALSE) / VLOOKUP("industry|SO2|Work loss days", US_national_yearly!$D:$AM, 10, FALSE), 1)</f>
        <v>1.483333994019162E-2</v>
      </c>
      <c r="AB15" s="7">
        <f>$B15 * IFERROR(VLOOKUP("industry|SO2|Work loss days", US_national_yearly!$D:$AM, 36, FALSE) / VLOOKUP("industry|SO2|Work loss days", US_national_yearly!$D:$AM, 10, FALSE), 1)</f>
        <v>1.493205186379923E-2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2.1157934182342666E-5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2.1797690796077081E-5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2.2437447409811502E-5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2.3077204023545921E-5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2.3716960637280343E-5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2.4330078227624054E-5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2.4943195817967765E-5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2.5469272179732396E-5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2.5995348541497033E-5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2.652142490326167E-5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2.7047501265026307E-5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2.7573577626790937E-5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2.792702424353473E-5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2.8280470860278519E-5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2.8633917477022308E-5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2.8987364093766098E-5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2.9340810710509891E-5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2.9527699578881069E-5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2.9714588447252257E-5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2.9901477315623438E-5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3.0088366183994626E-5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3.0275255052365804E-5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3.0401641478597748E-5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3.0528027904829682E-5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3.0654414331061636E-5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3.0780800757293576E-5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3.0907187183525509E-5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9.8398579559250853E-5</v>
      </c>
      <c r="C2" s="7">
        <f>$B2 * IFERROR(VLOOKUP("LULUCF|PM25|Premature mortality", US_national_yearly!$D:$AM, 11, FALSE) / VLOOKUP("LULUCF|PM25|Premature mortality", US_national_yearly!$D:$AM, 10, FALSE), 1)</f>
        <v>9.9618506306662862E-5</v>
      </c>
      <c r="D2" s="7">
        <f>$B2 * IFERROR(VLOOKUP("LULUCF|PM25|Premature mortality", US_national_yearly!$D:$AM, 12, FALSE) / VLOOKUP("LULUCF|PM25|Premature mortality", US_national_yearly!$D:$AM, 10, FALSE), 1)</f>
        <v>1.0083843305407484E-4</v>
      </c>
      <c r="E2" s="7">
        <f>$B2 * IFERROR(VLOOKUP("LULUCF|PM25|Premature mortality", US_national_yearly!$D:$AM, 13, FALSE) / VLOOKUP("LULUCF|PM25|Premature mortality", US_national_yearly!$D:$AM, 10, FALSE), 1)</f>
        <v>1.0205835980148684E-4</v>
      </c>
      <c r="F2" s="7">
        <f>$B2 * IFERROR(VLOOKUP("LULUCF|PM25|Premature mortality", US_national_yearly!$D:$AM, 14, FALSE) / VLOOKUP("LULUCF|PM25|Premature mortality", US_national_yearly!$D:$AM, 10, FALSE), 1)</f>
        <v>1.0327828654889882E-4</v>
      </c>
      <c r="G2" s="7">
        <f>$B2 * IFERROR(VLOOKUP("LULUCF|PM25|Premature mortality", US_national_yearly!$D:$AM, 15, FALSE) / VLOOKUP("LULUCF|PM25|Premature mortality", US_national_yearly!$D:$AM, 10, FALSE), 1)</f>
        <v>1.0565408468901394E-4</v>
      </c>
      <c r="H2" s="7">
        <f>$B2 * IFERROR(VLOOKUP("LULUCF|PM25|Premature mortality", US_national_yearly!$D:$AM, 16, FALSE) / VLOOKUP("LULUCF|PM25|Premature mortality", US_national_yearly!$D:$AM, 10, FALSE), 1)</f>
        <v>1.0802988282912906E-4</v>
      </c>
      <c r="I2" s="7">
        <f>$B2 * IFERROR(VLOOKUP("LULUCF|PM25|Premature mortality", US_national_yearly!$D:$AM, 17, FALSE) / VLOOKUP("LULUCF|PM25|Premature mortality", US_national_yearly!$D:$AM, 10, FALSE), 1)</f>
        <v>1.0959040705710113E-4</v>
      </c>
      <c r="J2" s="7">
        <f>$B2 * IFERROR(VLOOKUP("LULUCF|PM25|Premature mortality", US_national_yearly!$D:$AM, 18, FALSE) / VLOOKUP("LULUCF|PM25|Premature mortality", US_national_yearly!$D:$AM, 10, FALSE), 1)</f>
        <v>1.1115093128507325E-4</v>
      </c>
      <c r="K2" s="7">
        <f>$B2 * IFERROR(VLOOKUP("LULUCF|PM25|Premature mortality", US_national_yearly!$D:$AM, 19, FALSE) / VLOOKUP("LULUCF|PM25|Premature mortality", US_national_yearly!$D:$AM, 10, FALSE), 1)</f>
        <v>1.1271145551304535E-4</v>
      </c>
      <c r="L2" s="7">
        <f>$B2 * IFERROR(VLOOKUP("LULUCF|PM25|Premature mortality", US_national_yearly!$D:$AM, 20, FALSE) / VLOOKUP("LULUCF|PM25|Premature mortality", US_national_yearly!$D:$AM, 10, FALSE), 1)</f>
        <v>1.1427197974101747E-4</v>
      </c>
      <c r="M2" s="7">
        <f>$B2 * IFERROR(VLOOKUP("LULUCF|PM25|Premature mortality", US_national_yearly!$D:$AM, 21, FALSE) / VLOOKUP("LULUCF|PM25|Premature mortality", US_national_yearly!$D:$AM, 10, FALSE), 1)</f>
        <v>1.1583250396898957E-4</v>
      </c>
      <c r="N2" s="7">
        <f>$B2 * IFERROR(VLOOKUP("LULUCF|PM25|Premature mortality", US_national_yearly!$D:$AM, 22, FALSE) / VLOOKUP("LULUCF|PM25|Premature mortality", US_national_yearly!$D:$AM, 10, FALSE), 1)</f>
        <v>1.1704415171394444E-4</v>
      </c>
      <c r="O2" s="7">
        <f>$B2 * IFERROR(VLOOKUP("LULUCF|PM25|Premature mortality", US_national_yearly!$D:$AM, 23, FALSE) / VLOOKUP("LULUCF|PM25|Premature mortality", US_national_yearly!$D:$AM, 10, FALSE), 1)</f>
        <v>1.1825579945889931E-4</v>
      </c>
      <c r="P2" s="7">
        <f>$B2 * IFERROR(VLOOKUP("LULUCF|PM25|Premature mortality", US_national_yearly!$D:$AM, 24, FALSE) / VLOOKUP("LULUCF|PM25|Premature mortality", US_national_yearly!$D:$AM, 10, FALSE), 1)</f>
        <v>1.1946744720385418E-4</v>
      </c>
      <c r="Q2" s="7">
        <f>$B2 * IFERROR(VLOOKUP("LULUCF|PM25|Premature mortality", US_national_yearly!$D:$AM, 25, FALSE) / VLOOKUP("LULUCF|PM25|Premature mortality", US_national_yearly!$D:$AM, 10, FALSE), 1)</f>
        <v>1.2067909494880904E-4</v>
      </c>
      <c r="R2" s="7">
        <f>$B2 * IFERROR(VLOOKUP("LULUCF|PM25|Premature mortality", US_national_yearly!$D:$AM, 26, FALSE) / VLOOKUP("LULUCF|PM25|Premature mortality", US_national_yearly!$D:$AM, 10, FALSE), 1)</f>
        <v>1.2189074269376394E-4</v>
      </c>
      <c r="S2" s="7">
        <f>$B2 * IFERROR(VLOOKUP("LULUCF|PM25|Premature mortality", US_national_yearly!$D:$AM, 27, FALSE) / VLOOKUP("LULUCF|PM25|Premature mortality", US_national_yearly!$D:$AM, 10, FALSE), 1)</f>
        <v>1.2253263766978664E-4</v>
      </c>
      <c r="T2" s="7">
        <f>$B2 * IFERROR(VLOOKUP("LULUCF|PM25|Premature mortality", US_national_yearly!$D:$AM, 28, FALSE) / VLOOKUP("LULUCF|PM25|Premature mortality", US_national_yearly!$D:$AM, 10, FALSE), 1)</f>
        <v>1.2317453264580933E-4</v>
      </c>
      <c r="U2" s="7">
        <f>$B2 * IFERROR(VLOOKUP("LULUCF|PM25|Premature mortality", US_national_yearly!$D:$AM, 29, FALSE) / VLOOKUP("LULUCF|PM25|Premature mortality", US_national_yearly!$D:$AM, 10, FALSE), 1)</f>
        <v>1.2381642762183202E-4</v>
      </c>
      <c r="V2" s="7">
        <f>$B2 * IFERROR(VLOOKUP("LULUCF|PM25|Premature mortality", US_national_yearly!$D:$AM, 30, FALSE) / VLOOKUP("LULUCF|PM25|Premature mortality", US_national_yearly!$D:$AM, 10, FALSE), 1)</f>
        <v>1.2445832259785471E-4</v>
      </c>
      <c r="W2" s="7">
        <f>$B2 * IFERROR(VLOOKUP("LULUCF|PM25|Premature mortality", US_national_yearly!$D:$AM, 31, FALSE) / VLOOKUP("LULUCF|PM25|Premature mortality", US_national_yearly!$D:$AM, 10, FALSE), 1)</f>
        <v>1.251002175738774E-4</v>
      </c>
      <c r="X2" s="7">
        <f>$B2 * IFERROR(VLOOKUP("LULUCF|PM25|Premature mortality", US_national_yearly!$D:$AM, 32, FALSE) / VLOOKUP("LULUCF|PM25|Premature mortality", US_national_yearly!$D:$AM, 10, FALSE), 1)</f>
        <v>1.2521245787583659E-4</v>
      </c>
      <c r="Y2" s="7">
        <f>$B2 * IFERROR(VLOOKUP("LULUCF|PM25|Premature mortality", US_national_yearly!$D:$AM, 33, FALSE) / VLOOKUP("LULUCF|PM25|Premature mortality", US_national_yearly!$D:$AM, 10, FALSE), 1)</f>
        <v>1.253246981777958E-4</v>
      </c>
      <c r="Z2" s="7">
        <f>$B2 * IFERROR(VLOOKUP("LULUCF|PM25|Premature mortality", US_national_yearly!$D:$AM, 34, FALSE) / VLOOKUP("LULUCF|PM25|Premature mortality", US_national_yearly!$D:$AM, 10, FALSE), 1)</f>
        <v>1.2543693847975499E-4</v>
      </c>
      <c r="AA2" s="7">
        <f>$B2 * IFERROR(VLOOKUP("LULUCF|PM25|Premature mortality", US_national_yearly!$D:$AM, 35, FALSE) / VLOOKUP("LULUCF|PM25|Premature mortality", US_national_yearly!$D:$AM, 10, FALSE), 1)</f>
        <v>1.2554917878171421E-4</v>
      </c>
      <c r="AB2" s="7">
        <f>$B2 * IFERROR(VLOOKUP("LULUCF|PM25|Premature mortality", US_national_yearly!$D:$AM, 36, FALSE) / VLOOKUP("LULUCF|PM25|Premature mortality", US_national_yearly!$D:$AM, 10, FALSE), 1)</f>
        <v>1.2566141908367337E-4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2.0156136309736618E-7</v>
      </c>
      <c r="C3" s="7">
        <f>$B3 * IFERROR(VLOOKUP("LULUCF|PM25|Infant mortality", US_national_yearly!$D:$AM, 11, FALSE) / VLOOKUP("LULUCF|PM25|Infant mortality", US_national_yearly!$D:$AM, 10, FALSE), 1)</f>
        <v>1.9980393193721196E-7</v>
      </c>
      <c r="D3" s="7">
        <f>$B3 * IFERROR(VLOOKUP("LULUCF|PM25|Infant mortality", US_national_yearly!$D:$AM, 12, FALSE) / VLOOKUP("LULUCF|PM25|Infant mortality", US_national_yearly!$D:$AM, 10, FALSE), 1)</f>
        <v>1.9804650077705774E-7</v>
      </c>
      <c r="E3" s="7">
        <f>$B3 * IFERROR(VLOOKUP("LULUCF|PM25|Infant mortality", US_national_yearly!$D:$AM, 13, FALSE) / VLOOKUP("LULUCF|PM25|Infant mortality", US_national_yearly!$D:$AM, 10, FALSE), 1)</f>
        <v>1.9628906961690352E-7</v>
      </c>
      <c r="F3" s="7">
        <f>$B3 * IFERROR(VLOOKUP("LULUCF|PM25|Infant mortality", US_national_yearly!$D:$AM, 14, FALSE) / VLOOKUP("LULUCF|PM25|Infant mortality", US_national_yearly!$D:$AM, 10, FALSE), 1)</f>
        <v>1.9453163845674925E-7</v>
      </c>
      <c r="G3" s="7">
        <f>$B3 * IFERROR(VLOOKUP("LULUCF|PM25|Infant mortality", US_national_yearly!$D:$AM, 15, FALSE) / VLOOKUP("LULUCF|PM25|Infant mortality", US_national_yearly!$D:$AM, 10, FALSE), 1)</f>
        <v>1.2937394545159952E-7</v>
      </c>
      <c r="H3" s="7">
        <f>$B3 * IFERROR(VLOOKUP("LULUCF|PM25|Infant mortality", US_national_yearly!$D:$AM, 16, FALSE) / VLOOKUP("LULUCF|PM25|Infant mortality", US_national_yearly!$D:$AM, 10, FALSE), 1)</f>
        <v>6.4216252446449743E-8</v>
      </c>
      <c r="I3" s="7">
        <f>$B3 * IFERROR(VLOOKUP("LULUCF|PM25|Infant mortality", US_national_yearly!$D:$AM, 17, FALSE) / VLOOKUP("LULUCF|PM25|Infant mortality", US_national_yearly!$D:$AM, 10, FALSE), 1)</f>
        <v>6.3796493160923011E-8</v>
      </c>
      <c r="J3" s="7">
        <f>$B3 * IFERROR(VLOOKUP("LULUCF|PM25|Infant mortality", US_national_yearly!$D:$AM, 18, FALSE) / VLOOKUP("LULUCF|PM25|Infant mortality", US_national_yearly!$D:$AM, 10, FALSE), 1)</f>
        <v>6.3376733875396252E-8</v>
      </c>
      <c r="K3" s="7">
        <f>$B3 * IFERROR(VLOOKUP("LULUCF|PM25|Infant mortality", US_national_yearly!$D:$AM, 19, FALSE) / VLOOKUP("LULUCF|PM25|Infant mortality", US_national_yearly!$D:$AM, 10, FALSE), 1)</f>
        <v>6.2956974589869494E-8</v>
      </c>
      <c r="L3" s="7">
        <f>$B3 * IFERROR(VLOOKUP("LULUCF|PM25|Infant mortality", US_national_yearly!$D:$AM, 20, FALSE) / VLOOKUP("LULUCF|PM25|Infant mortality", US_national_yearly!$D:$AM, 10, FALSE), 1)</f>
        <v>6.2537215304342748E-8</v>
      </c>
      <c r="M3" s="7">
        <f>$B3 * IFERROR(VLOOKUP("LULUCF|PM25|Infant mortality", US_national_yearly!$D:$AM, 21, FALSE) / VLOOKUP("LULUCF|PM25|Infant mortality", US_national_yearly!$D:$AM, 10, FALSE), 1)</f>
        <v>6.2117456018816003E-8</v>
      </c>
      <c r="N3" s="7">
        <f>$B3 * IFERROR(VLOOKUP("LULUCF|PM25|Infant mortality", US_national_yearly!$D:$AM, 22, FALSE) / VLOOKUP("LULUCF|PM25|Infant mortality", US_national_yearly!$D:$AM, 10, FALSE), 1)</f>
        <v>6.185380071561365E-8</v>
      </c>
      <c r="O3" s="7">
        <f>$B3 * IFERROR(VLOOKUP("LULUCF|PM25|Infant mortality", US_national_yearly!$D:$AM, 23, FALSE) / VLOOKUP("LULUCF|PM25|Infant mortality", US_national_yearly!$D:$AM, 10, FALSE), 1)</f>
        <v>6.1590145412411297E-8</v>
      </c>
      <c r="P3" s="7">
        <f>$B3 * IFERROR(VLOOKUP("LULUCF|PM25|Infant mortality", US_national_yearly!$D:$AM, 24, FALSE) / VLOOKUP("LULUCF|PM25|Infant mortality", US_national_yearly!$D:$AM, 10, FALSE), 1)</f>
        <v>6.1326490109208931E-8</v>
      </c>
      <c r="Q3" s="7">
        <f>$B3 * IFERROR(VLOOKUP("LULUCF|PM25|Infant mortality", US_national_yearly!$D:$AM, 25, FALSE) / VLOOKUP("LULUCF|PM25|Infant mortality", US_national_yearly!$D:$AM, 10, FALSE), 1)</f>
        <v>6.1062834806006578E-8</v>
      </c>
      <c r="R3" s="7">
        <f>$B3 * IFERROR(VLOOKUP("LULUCF|PM25|Infant mortality", US_national_yearly!$D:$AM, 26, FALSE) / VLOOKUP("LULUCF|PM25|Infant mortality", US_national_yearly!$D:$AM, 10, FALSE), 1)</f>
        <v>6.0799179502804212E-8</v>
      </c>
      <c r="S3" s="7">
        <f>$B3 * IFERROR(VLOOKUP("LULUCF|PM25|Infant mortality", US_national_yearly!$D:$AM, 27, FALSE) / VLOOKUP("LULUCF|PM25|Infant mortality", US_national_yearly!$D:$AM, 10, FALSE), 1)</f>
        <v>6.0470527776508313E-8</v>
      </c>
      <c r="T3" s="7">
        <f>$B3 * IFERROR(VLOOKUP("LULUCF|PM25|Infant mortality", US_national_yearly!$D:$AM, 28, FALSE) / VLOOKUP("LULUCF|PM25|Infant mortality", US_national_yearly!$D:$AM, 10, FALSE), 1)</f>
        <v>6.0141876050212401E-8</v>
      </c>
      <c r="U3" s="7">
        <f>$B3 * IFERROR(VLOOKUP("LULUCF|PM25|Infant mortality", US_national_yearly!$D:$AM, 29, FALSE) / VLOOKUP("LULUCF|PM25|Infant mortality", US_national_yearly!$D:$AM, 10, FALSE), 1)</f>
        <v>5.9813224323916503E-8</v>
      </c>
      <c r="V3" s="7">
        <f>$B3 * IFERROR(VLOOKUP("LULUCF|PM25|Infant mortality", US_national_yearly!$D:$AM, 30, FALSE) / VLOOKUP("LULUCF|PM25|Infant mortality", US_national_yearly!$D:$AM, 10, FALSE), 1)</f>
        <v>5.9484572597620597E-8</v>
      </c>
      <c r="W3" s="7">
        <f>$B3 * IFERROR(VLOOKUP("LULUCF|PM25|Infant mortality", US_national_yearly!$D:$AM, 31, FALSE) / VLOOKUP("LULUCF|PM25|Infant mortality", US_national_yearly!$D:$AM, 10, FALSE), 1)</f>
        <v>5.9155920871324686E-8</v>
      </c>
      <c r="X3" s="7">
        <f>$B3 * IFERROR(VLOOKUP("LULUCF|PM25|Infant mortality", US_national_yearly!$D:$AM, 32, FALSE) / VLOOKUP("LULUCF|PM25|Infant mortality", US_national_yearly!$D:$AM, 10, FALSE), 1)</f>
        <v>5.8801593003189329E-8</v>
      </c>
      <c r="Y3" s="7">
        <f>$B3 * IFERROR(VLOOKUP("LULUCF|PM25|Infant mortality", US_national_yearly!$D:$AM, 33, FALSE) / VLOOKUP("LULUCF|PM25|Infant mortality", US_national_yearly!$D:$AM, 10, FALSE), 1)</f>
        <v>5.8447265135053953E-8</v>
      </c>
      <c r="Z3" s="7">
        <f>$B3 * IFERROR(VLOOKUP("LULUCF|PM25|Infant mortality", US_national_yearly!$D:$AM, 34, FALSE) / VLOOKUP("LULUCF|PM25|Infant mortality", US_national_yearly!$D:$AM, 10, FALSE), 1)</f>
        <v>5.8092937266918597E-8</v>
      </c>
      <c r="AA3" s="7">
        <f>$B3 * IFERROR(VLOOKUP("LULUCF|PM25|Infant mortality", US_national_yearly!$D:$AM, 35, FALSE) / VLOOKUP("LULUCF|PM25|Infant mortality", US_national_yearly!$D:$AM, 10, FALSE), 1)</f>
        <v>5.7738609398783233E-8</v>
      </c>
      <c r="AB3" s="7">
        <f>$B3 * IFERROR(VLOOKUP("LULUCF|PM25|Infant mortality", US_national_yearly!$D:$AM, 36, FALSE) / VLOOKUP("LULUCF|PM25|Infant mortality", US_national_yearly!$D:$AM, 10, FALSE), 1)</f>
        <v>5.7384281530647877E-8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2.2116828422526514E-4</v>
      </c>
      <c r="C6" s="7">
        <f>$B6 * IFERROR(VLOOKUP("LULUCF|PM25|Asthma symptoms cough", US_national_yearly!$D:$AM, 11, FALSE) / VLOOKUP("LULUCF|PM25|Asthma symptoms cough", US_national_yearly!$D:$AM, 10, FALSE), 1)</f>
        <v>2.2116828422526514E-4</v>
      </c>
      <c r="D6" s="7">
        <f>$B6 * IFERROR(VLOOKUP("LULUCF|PM25|Asthma symptoms cough", US_national_yearly!$D:$AM, 12, FALSE) / VLOOKUP("LULUCF|PM25|Asthma symptoms cough", US_national_yearly!$D:$AM, 10, FALSE), 1)</f>
        <v>2.2116828422526514E-4</v>
      </c>
      <c r="E6" s="7">
        <f>$B6 * IFERROR(VLOOKUP("LULUCF|PM25|Asthma symptoms cough", US_national_yearly!$D:$AM, 13, FALSE) / VLOOKUP("LULUCF|PM25|Asthma symptoms cough", US_national_yearly!$D:$AM, 10, FALSE), 1)</f>
        <v>2.2116828422526514E-4</v>
      </c>
      <c r="F6" s="7">
        <f>$B6 * IFERROR(VLOOKUP("LULUCF|PM25|Asthma symptoms cough", US_national_yearly!$D:$AM, 14, FALSE) / VLOOKUP("LULUCF|PM25|Asthma symptoms cough", US_national_yearly!$D:$AM, 10, FALSE), 1)</f>
        <v>2.2116828422526514E-4</v>
      </c>
      <c r="G6" s="7">
        <f>$B6 * IFERROR(VLOOKUP("LULUCF|PM25|Asthma symptoms cough", US_national_yearly!$D:$AM, 15, FALSE) / VLOOKUP("LULUCF|PM25|Asthma symptoms cough", US_national_yearly!$D:$AM, 10, FALSE), 1)</f>
        <v>2.2116828422526514E-4</v>
      </c>
      <c r="H6" s="7">
        <f>$B6 * IFERROR(VLOOKUP("LULUCF|PM25|Asthma symptoms cough", US_national_yearly!$D:$AM, 16, FALSE) / VLOOKUP("LULUCF|PM25|Asthma symptoms cough", US_national_yearly!$D:$AM, 10, FALSE), 1)</f>
        <v>2.2116828422526514E-4</v>
      </c>
      <c r="I6" s="7">
        <f>$B6 * IFERROR(VLOOKUP("LULUCF|PM25|Asthma symptoms cough", US_national_yearly!$D:$AM, 17, FALSE) / VLOOKUP("LULUCF|PM25|Asthma symptoms cough", US_national_yearly!$D:$AM, 10, FALSE), 1)</f>
        <v>2.2116828422526514E-4</v>
      </c>
      <c r="J6" s="7">
        <f>$B6 * IFERROR(VLOOKUP("LULUCF|PM25|Asthma symptoms cough", US_national_yearly!$D:$AM, 18, FALSE) / VLOOKUP("LULUCF|PM25|Asthma symptoms cough", US_national_yearly!$D:$AM, 10, FALSE), 1)</f>
        <v>2.2116828422526514E-4</v>
      </c>
      <c r="K6" s="7">
        <f>$B6 * IFERROR(VLOOKUP("LULUCF|PM25|Asthma symptoms cough", US_national_yearly!$D:$AM, 19, FALSE) / VLOOKUP("LULUCF|PM25|Asthma symptoms cough", US_national_yearly!$D:$AM, 10, FALSE), 1)</f>
        <v>2.2116828422526514E-4</v>
      </c>
      <c r="L6" s="7">
        <f>$B6 * IFERROR(VLOOKUP("LULUCF|PM25|Asthma symptoms cough", US_national_yearly!$D:$AM, 20, FALSE) / VLOOKUP("LULUCF|PM25|Asthma symptoms cough", US_national_yearly!$D:$AM, 10, FALSE), 1)</f>
        <v>2.2116828422526514E-4</v>
      </c>
      <c r="M6" s="7">
        <f>$B6 * IFERROR(VLOOKUP("LULUCF|PM25|Asthma symptoms cough", US_national_yearly!$D:$AM, 21, FALSE) / VLOOKUP("LULUCF|PM25|Asthma symptoms cough", US_national_yearly!$D:$AM, 10, FALSE), 1)</f>
        <v>2.2116828422526514E-4</v>
      </c>
      <c r="N6" s="7">
        <f>$B6 * IFERROR(VLOOKUP("LULUCF|PM25|Asthma symptoms cough", US_national_yearly!$D:$AM, 22, FALSE) / VLOOKUP("LULUCF|PM25|Asthma symptoms cough", US_national_yearly!$D:$AM, 10, FALSE), 1)</f>
        <v>2.2116828422526514E-4</v>
      </c>
      <c r="O6" s="7">
        <f>$B6 * IFERROR(VLOOKUP("LULUCF|PM25|Asthma symptoms cough", US_national_yearly!$D:$AM, 23, FALSE) / VLOOKUP("LULUCF|PM25|Asthma symptoms cough", US_national_yearly!$D:$AM, 10, FALSE), 1)</f>
        <v>2.2116828422526514E-4</v>
      </c>
      <c r="P6" s="7">
        <f>$B6 * IFERROR(VLOOKUP("LULUCF|PM25|Asthma symptoms cough", US_national_yearly!$D:$AM, 24, FALSE) / VLOOKUP("LULUCF|PM25|Asthma symptoms cough", US_national_yearly!$D:$AM, 10, FALSE), 1)</f>
        <v>2.2116828422526514E-4</v>
      </c>
      <c r="Q6" s="7">
        <f>$B6 * IFERROR(VLOOKUP("LULUCF|PM25|Asthma symptoms cough", US_national_yearly!$D:$AM, 25, FALSE) / VLOOKUP("LULUCF|PM25|Asthma symptoms cough", US_national_yearly!$D:$AM, 10, FALSE), 1)</f>
        <v>2.2116828422526514E-4</v>
      </c>
      <c r="R6" s="7">
        <f>$B6 * IFERROR(VLOOKUP("LULUCF|PM25|Asthma symptoms cough", US_national_yearly!$D:$AM, 26, FALSE) / VLOOKUP("LULUCF|PM25|Asthma symptoms cough", US_national_yearly!$D:$AM, 10, FALSE), 1)</f>
        <v>2.2116828422526514E-4</v>
      </c>
      <c r="S6" s="7">
        <f>$B6 * IFERROR(VLOOKUP("LULUCF|PM25|Asthma symptoms cough", US_national_yearly!$D:$AM, 27, FALSE) / VLOOKUP("LULUCF|PM25|Asthma symptoms cough", US_national_yearly!$D:$AM, 10, FALSE), 1)</f>
        <v>2.2116828422526514E-4</v>
      </c>
      <c r="T6" s="7">
        <f>$B6 * IFERROR(VLOOKUP("LULUCF|PM25|Asthma symptoms cough", US_national_yearly!$D:$AM, 28, FALSE) / VLOOKUP("LULUCF|PM25|Asthma symptoms cough", US_national_yearly!$D:$AM, 10, FALSE), 1)</f>
        <v>2.2116828422526514E-4</v>
      </c>
      <c r="U6" s="7">
        <f>$B6 * IFERROR(VLOOKUP("LULUCF|PM25|Asthma symptoms cough", US_national_yearly!$D:$AM, 29, FALSE) / VLOOKUP("LULUCF|PM25|Asthma symptoms cough", US_national_yearly!$D:$AM, 10, FALSE), 1)</f>
        <v>2.2116828422526514E-4</v>
      </c>
      <c r="V6" s="7">
        <f>$B6 * IFERROR(VLOOKUP("LULUCF|PM25|Asthma symptoms cough", US_national_yearly!$D:$AM, 30, FALSE) / VLOOKUP("LULUCF|PM25|Asthma symptoms cough", US_national_yearly!$D:$AM, 10, FALSE), 1)</f>
        <v>2.2116828422526514E-4</v>
      </c>
      <c r="W6" s="7">
        <f>$B6 * IFERROR(VLOOKUP("LULUCF|PM25|Asthma symptoms cough", US_national_yearly!$D:$AM, 31, FALSE) / VLOOKUP("LULUCF|PM25|Asthma symptoms cough", US_national_yearly!$D:$AM, 10, FALSE), 1)</f>
        <v>2.2116828422526514E-4</v>
      </c>
      <c r="X6" s="7">
        <f>$B6 * IFERROR(VLOOKUP("LULUCF|PM25|Asthma symptoms cough", US_national_yearly!$D:$AM, 32, FALSE) / VLOOKUP("LULUCF|PM25|Asthma symptoms cough", US_national_yearly!$D:$AM, 10, FALSE), 1)</f>
        <v>2.2116828422526514E-4</v>
      </c>
      <c r="Y6" s="7">
        <f>$B6 * IFERROR(VLOOKUP("LULUCF|PM25|Asthma symptoms cough", US_national_yearly!$D:$AM, 33, FALSE) / VLOOKUP("LULUCF|PM25|Asthma symptoms cough", US_national_yearly!$D:$AM, 10, FALSE), 1)</f>
        <v>2.2116828422526514E-4</v>
      </c>
      <c r="Z6" s="7">
        <f>$B6 * IFERROR(VLOOKUP("LULUCF|PM25|Asthma symptoms cough", US_national_yearly!$D:$AM, 34, FALSE) / VLOOKUP("LULUCF|PM25|Asthma symptoms cough", US_national_yearly!$D:$AM, 10, FALSE), 1)</f>
        <v>2.2116828422526514E-4</v>
      </c>
      <c r="AA6" s="7">
        <f>$B6 * IFERROR(VLOOKUP("LULUCF|PM25|Asthma symptoms cough", US_national_yearly!$D:$AM, 35, FALSE) / VLOOKUP("LULUCF|PM25|Asthma symptoms cough", US_national_yearly!$D:$AM, 10, FALSE), 1)</f>
        <v>2.2116828422526514E-4</v>
      </c>
      <c r="AB6" s="7">
        <f>$B6 * IFERROR(VLOOKUP("LULUCF|PM25|Asthma symptoms cough", US_national_yearly!$D:$AM, 36, FALSE) / VLOOKUP("LULUCF|PM25|Asthma symptoms cough", US_national_yearly!$D:$AM, 10, FALSE), 1)</f>
        <v>2.2116828422526514E-4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2.9783481149329896E-4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2.9783481149329896E-4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2.9783481149329896E-4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2.9783481149329896E-4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2.9783481149329896E-4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2.9783481149329896E-4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2.9783481149329896E-4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2.9783481149329896E-4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2.9783481149329896E-4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2.9783481149329896E-4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2.9783481149329896E-4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2.9783481149329896E-4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2.9783481149329896E-4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2.9783481149329896E-4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2.9783481149329896E-4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2.9783481149329896E-4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2.9783481149329896E-4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2.9783481149329896E-4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2.9783481149329896E-4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2.9783481149329896E-4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2.9783481149329896E-4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2.9783481149329896E-4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2.9783481149329896E-4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2.9783481149329896E-4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2.9783481149329896E-4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2.9783481149329896E-4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2.9783481149329896E-4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4.5504245721039846E-4</v>
      </c>
      <c r="C8" s="7">
        <f>$B8 * IFERROR(VLOOKUP("LULUCF|PM25|Asthma symptoms wheeze", US_national_yearly!$D:$AM, 11, FALSE) / VLOOKUP("LULUCF|PM25|Asthma symptoms wheeze", US_national_yearly!$D:$AM, 10, FALSE), 1)</f>
        <v>4.5504245721039846E-4</v>
      </c>
      <c r="D8" s="7">
        <f>$B8 * IFERROR(VLOOKUP("LULUCF|PM25|Asthma symptoms wheeze", US_national_yearly!$D:$AM, 12, FALSE) / VLOOKUP("LULUCF|PM25|Asthma symptoms wheeze", US_national_yearly!$D:$AM, 10, FALSE), 1)</f>
        <v>4.5504245721039846E-4</v>
      </c>
      <c r="E8" s="7">
        <f>$B8 * IFERROR(VLOOKUP("LULUCF|PM25|Asthma symptoms wheeze", US_national_yearly!$D:$AM, 13, FALSE) / VLOOKUP("LULUCF|PM25|Asthma symptoms wheeze", US_national_yearly!$D:$AM, 10, FALSE), 1)</f>
        <v>4.5504245721039846E-4</v>
      </c>
      <c r="F8" s="7">
        <f>$B8 * IFERROR(VLOOKUP("LULUCF|PM25|Asthma symptoms wheeze", US_national_yearly!$D:$AM, 14, FALSE) / VLOOKUP("LULUCF|PM25|Asthma symptoms wheeze", US_national_yearly!$D:$AM, 10, FALSE), 1)</f>
        <v>4.5504245721039846E-4</v>
      </c>
      <c r="G8" s="7">
        <f>$B8 * IFERROR(VLOOKUP("LULUCF|PM25|Asthma symptoms wheeze", US_national_yearly!$D:$AM, 15, FALSE) / VLOOKUP("LULUCF|PM25|Asthma symptoms wheeze", US_national_yearly!$D:$AM, 10, FALSE), 1)</f>
        <v>4.5504245721039846E-4</v>
      </c>
      <c r="H8" s="7">
        <f>$B8 * IFERROR(VLOOKUP("LULUCF|PM25|Asthma symptoms wheeze", US_national_yearly!$D:$AM, 16, FALSE) / VLOOKUP("LULUCF|PM25|Asthma symptoms wheeze", US_national_yearly!$D:$AM, 10, FALSE), 1)</f>
        <v>4.5504245721039846E-4</v>
      </c>
      <c r="I8" s="7">
        <f>$B8 * IFERROR(VLOOKUP("LULUCF|PM25|Asthma symptoms wheeze", US_national_yearly!$D:$AM, 17, FALSE) / VLOOKUP("LULUCF|PM25|Asthma symptoms wheeze", US_national_yearly!$D:$AM, 10, FALSE), 1)</f>
        <v>4.5504245721039846E-4</v>
      </c>
      <c r="J8" s="7">
        <f>$B8 * IFERROR(VLOOKUP("LULUCF|PM25|Asthma symptoms wheeze", US_national_yearly!$D:$AM, 18, FALSE) / VLOOKUP("LULUCF|PM25|Asthma symptoms wheeze", US_national_yearly!$D:$AM, 10, FALSE), 1)</f>
        <v>4.5504245721039846E-4</v>
      </c>
      <c r="K8" s="7">
        <f>$B8 * IFERROR(VLOOKUP("LULUCF|PM25|Asthma symptoms wheeze", US_national_yearly!$D:$AM, 19, FALSE) / VLOOKUP("LULUCF|PM25|Asthma symptoms wheeze", US_national_yearly!$D:$AM, 10, FALSE), 1)</f>
        <v>4.5504245721039846E-4</v>
      </c>
      <c r="L8" s="7">
        <f>$B8 * IFERROR(VLOOKUP("LULUCF|PM25|Asthma symptoms wheeze", US_national_yearly!$D:$AM, 20, FALSE) / VLOOKUP("LULUCF|PM25|Asthma symptoms wheeze", US_national_yearly!$D:$AM, 10, FALSE), 1)</f>
        <v>4.5504245721039846E-4</v>
      </c>
      <c r="M8" s="7">
        <f>$B8 * IFERROR(VLOOKUP("LULUCF|PM25|Asthma symptoms wheeze", US_national_yearly!$D:$AM, 21, FALSE) / VLOOKUP("LULUCF|PM25|Asthma symptoms wheeze", US_national_yearly!$D:$AM, 10, FALSE), 1)</f>
        <v>4.5504245721039846E-4</v>
      </c>
      <c r="N8" s="7">
        <f>$B8 * IFERROR(VLOOKUP("LULUCF|PM25|Asthma symptoms wheeze", US_national_yearly!$D:$AM, 22, FALSE) / VLOOKUP("LULUCF|PM25|Asthma symptoms wheeze", US_national_yearly!$D:$AM, 10, FALSE), 1)</f>
        <v>4.5504245721039846E-4</v>
      </c>
      <c r="O8" s="7">
        <f>$B8 * IFERROR(VLOOKUP("LULUCF|PM25|Asthma symptoms wheeze", US_national_yearly!$D:$AM, 23, FALSE) / VLOOKUP("LULUCF|PM25|Asthma symptoms wheeze", US_national_yearly!$D:$AM, 10, FALSE), 1)</f>
        <v>4.5504245721039846E-4</v>
      </c>
      <c r="P8" s="7">
        <f>$B8 * IFERROR(VLOOKUP("LULUCF|PM25|Asthma symptoms wheeze", US_national_yearly!$D:$AM, 24, FALSE) / VLOOKUP("LULUCF|PM25|Asthma symptoms wheeze", US_national_yearly!$D:$AM, 10, FALSE), 1)</f>
        <v>4.5504245721039846E-4</v>
      </c>
      <c r="Q8" s="7">
        <f>$B8 * IFERROR(VLOOKUP("LULUCF|PM25|Asthma symptoms wheeze", US_national_yearly!$D:$AM, 25, FALSE) / VLOOKUP("LULUCF|PM25|Asthma symptoms wheeze", US_national_yearly!$D:$AM, 10, FALSE), 1)</f>
        <v>4.5504245721039846E-4</v>
      </c>
      <c r="R8" s="7">
        <f>$B8 * IFERROR(VLOOKUP("LULUCF|PM25|Asthma symptoms wheeze", US_national_yearly!$D:$AM, 26, FALSE) / VLOOKUP("LULUCF|PM25|Asthma symptoms wheeze", US_national_yearly!$D:$AM, 10, FALSE), 1)</f>
        <v>4.5504245721039846E-4</v>
      </c>
      <c r="S8" s="7">
        <f>$B8 * IFERROR(VLOOKUP("LULUCF|PM25|Asthma symptoms wheeze", US_national_yearly!$D:$AM, 27, FALSE) / VLOOKUP("LULUCF|PM25|Asthma symptoms wheeze", US_national_yearly!$D:$AM, 10, FALSE), 1)</f>
        <v>4.5504245721039846E-4</v>
      </c>
      <c r="T8" s="7">
        <f>$B8 * IFERROR(VLOOKUP("LULUCF|PM25|Asthma symptoms wheeze", US_national_yearly!$D:$AM, 28, FALSE) / VLOOKUP("LULUCF|PM25|Asthma symptoms wheeze", US_national_yearly!$D:$AM, 10, FALSE), 1)</f>
        <v>4.5504245721039846E-4</v>
      </c>
      <c r="U8" s="7">
        <f>$B8 * IFERROR(VLOOKUP("LULUCF|PM25|Asthma symptoms wheeze", US_national_yearly!$D:$AM, 29, FALSE) / VLOOKUP("LULUCF|PM25|Asthma symptoms wheeze", US_national_yearly!$D:$AM, 10, FALSE), 1)</f>
        <v>4.5504245721039846E-4</v>
      </c>
      <c r="V8" s="7">
        <f>$B8 * IFERROR(VLOOKUP("LULUCF|PM25|Asthma symptoms wheeze", US_national_yearly!$D:$AM, 30, FALSE) / VLOOKUP("LULUCF|PM25|Asthma symptoms wheeze", US_national_yearly!$D:$AM, 10, FALSE), 1)</f>
        <v>4.5504245721039846E-4</v>
      </c>
      <c r="W8" s="7">
        <f>$B8 * IFERROR(VLOOKUP("LULUCF|PM25|Asthma symptoms wheeze", US_national_yearly!$D:$AM, 31, FALSE) / VLOOKUP("LULUCF|PM25|Asthma symptoms wheeze", US_national_yearly!$D:$AM, 10, FALSE), 1)</f>
        <v>4.5504245721039846E-4</v>
      </c>
      <c r="X8" s="7">
        <f>$B8 * IFERROR(VLOOKUP("LULUCF|PM25|Asthma symptoms wheeze", US_national_yearly!$D:$AM, 32, FALSE) / VLOOKUP("LULUCF|PM25|Asthma symptoms wheeze", US_national_yearly!$D:$AM, 10, FALSE), 1)</f>
        <v>4.5504245721039846E-4</v>
      </c>
      <c r="Y8" s="7">
        <f>$B8 * IFERROR(VLOOKUP("LULUCF|PM25|Asthma symptoms wheeze", US_national_yearly!$D:$AM, 33, FALSE) / VLOOKUP("LULUCF|PM25|Asthma symptoms wheeze", US_national_yearly!$D:$AM, 10, FALSE), 1)</f>
        <v>4.5504245721039846E-4</v>
      </c>
      <c r="Z8" s="7">
        <f>$B8 * IFERROR(VLOOKUP("LULUCF|PM25|Asthma symptoms wheeze", US_national_yearly!$D:$AM, 34, FALSE) / VLOOKUP("LULUCF|PM25|Asthma symptoms wheeze", US_national_yearly!$D:$AM, 10, FALSE), 1)</f>
        <v>4.5504245721039846E-4</v>
      </c>
      <c r="AA8" s="7">
        <f>$B8 * IFERROR(VLOOKUP("LULUCF|PM25|Asthma symptoms wheeze", US_national_yearly!$D:$AM, 35, FALSE) / VLOOKUP("LULUCF|PM25|Asthma symptoms wheeze", US_national_yearly!$D:$AM, 10, FALSE), 1)</f>
        <v>4.5504245721039846E-4</v>
      </c>
      <c r="AB8" s="7">
        <f>$B8 * IFERROR(VLOOKUP("LULUCF|PM25|Asthma symptoms wheeze", US_national_yearly!$D:$AM, 36, FALSE) / VLOOKUP("LULUCF|PM25|Asthma symptoms wheeze", US_national_yearly!$D:$AM, 10, FALSE), 1)</f>
        <v>4.5504245721039846E-4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4.3317817250383226E-6</v>
      </c>
      <c r="C12" s="7">
        <f>$B12 * IFERROR(VLOOKUP("LULUCF|PM25|Respiratory hospital admissions", US_national_yearly!$D:$AM, 11, FALSE) / VLOOKUP("LULUCF|PM25|Respiratory hospital admissions", US_national_yearly!$D:$AM, 10, FALSE), 1)</f>
        <v>4.3566097519315019E-6</v>
      </c>
      <c r="D12" s="7">
        <f>$B12 * IFERROR(VLOOKUP("LULUCF|PM25|Respiratory hospital admissions", US_national_yearly!$D:$AM, 12, FALSE) / VLOOKUP("LULUCF|PM25|Respiratory hospital admissions", US_national_yearly!$D:$AM, 10, FALSE), 1)</f>
        <v>4.3814377788246795E-6</v>
      </c>
      <c r="E12" s="7">
        <f>$B12 * IFERROR(VLOOKUP("LULUCF|PM25|Respiratory hospital admissions", US_national_yearly!$D:$AM, 13, FALSE) / VLOOKUP("LULUCF|PM25|Respiratory hospital admissions", US_national_yearly!$D:$AM, 10, FALSE), 1)</f>
        <v>4.4062658057178587E-6</v>
      </c>
      <c r="F12" s="7">
        <f>$B12 * IFERROR(VLOOKUP("LULUCF|PM25|Respiratory hospital admissions", US_national_yearly!$D:$AM, 14, FALSE) / VLOOKUP("LULUCF|PM25|Respiratory hospital admissions", US_national_yearly!$D:$AM, 10, FALSE), 1)</f>
        <v>4.4310938326110372E-6</v>
      </c>
      <c r="G12" s="7">
        <f>$B12 * IFERROR(VLOOKUP("LULUCF|PM25|Respiratory hospital admissions", US_national_yearly!$D:$AM, 15, FALSE) / VLOOKUP("LULUCF|PM25|Respiratory hospital admissions", US_national_yearly!$D:$AM, 10, FALSE), 1)</f>
        <v>4.4579091607020017E-6</v>
      </c>
      <c r="H12" s="7">
        <f>$B12 * IFERROR(VLOOKUP("LULUCF|PM25|Respiratory hospital admissions", US_national_yearly!$D:$AM, 16, FALSE) / VLOOKUP("LULUCF|PM25|Respiratory hospital admissions", US_national_yearly!$D:$AM, 10, FALSE), 1)</f>
        <v>4.4847244887929663E-6</v>
      </c>
      <c r="I12" s="7">
        <f>$B12 * IFERROR(VLOOKUP("LULUCF|PM25|Respiratory hospital admissions", US_national_yearly!$D:$AM, 17, FALSE) / VLOOKUP("LULUCF|PM25|Respiratory hospital admissions", US_national_yearly!$D:$AM, 10, FALSE), 1)</f>
        <v>4.5103455159753939E-6</v>
      </c>
      <c r="J12" s="7">
        <f>$B12 * IFERROR(VLOOKUP("LULUCF|PM25|Respiratory hospital admissions", US_national_yearly!$D:$AM, 18, FALSE) / VLOOKUP("LULUCF|PM25|Respiratory hospital admissions", US_national_yearly!$D:$AM, 10, FALSE), 1)</f>
        <v>4.5359665431578231E-6</v>
      </c>
      <c r="K12" s="7">
        <f>$B12 * IFERROR(VLOOKUP("LULUCF|PM25|Respiratory hospital admissions", US_national_yearly!$D:$AM, 19, FALSE) / VLOOKUP("LULUCF|PM25|Respiratory hospital admissions", US_national_yearly!$D:$AM, 10, FALSE), 1)</f>
        <v>4.5615875703402515E-6</v>
      </c>
      <c r="L12" s="7">
        <f>$B12 * IFERROR(VLOOKUP("LULUCF|PM25|Respiratory hospital admissions", US_national_yearly!$D:$AM, 20, FALSE) / VLOOKUP("LULUCF|PM25|Respiratory hospital admissions", US_national_yearly!$D:$AM, 10, FALSE), 1)</f>
        <v>4.5872085975226808E-6</v>
      </c>
      <c r="M12" s="7">
        <f>$B12 * IFERROR(VLOOKUP("LULUCF|PM25|Respiratory hospital admissions", US_national_yearly!$D:$AM, 21, FALSE) / VLOOKUP("LULUCF|PM25|Respiratory hospital admissions", US_national_yearly!$D:$AM, 10, FALSE), 1)</f>
        <v>4.6128296247051083E-6</v>
      </c>
      <c r="N12" s="7">
        <f>$B12 * IFERROR(VLOOKUP("LULUCF|PM25|Respiratory hospital admissions", US_national_yearly!$D:$AM, 22, FALSE) / VLOOKUP("LULUCF|PM25|Respiratory hospital admissions", US_national_yearly!$D:$AM, 10, FALSE), 1)</f>
        <v>4.6312185835823724E-6</v>
      </c>
      <c r="O12" s="7">
        <f>$B12 * IFERROR(VLOOKUP("LULUCF|PM25|Respiratory hospital admissions", US_national_yearly!$D:$AM, 23, FALSE) / VLOOKUP("LULUCF|PM25|Respiratory hospital admissions", US_national_yearly!$D:$AM, 10, FALSE), 1)</f>
        <v>4.6496075424596348E-6</v>
      </c>
      <c r="P12" s="7">
        <f>$B12 * IFERROR(VLOOKUP("LULUCF|PM25|Respiratory hospital admissions", US_national_yearly!$D:$AM, 24, FALSE) / VLOOKUP("LULUCF|PM25|Respiratory hospital admissions", US_national_yearly!$D:$AM, 10, FALSE), 1)</f>
        <v>4.6679965013368963E-6</v>
      </c>
      <c r="Q12" s="7">
        <f>$B12 * IFERROR(VLOOKUP("LULUCF|PM25|Respiratory hospital admissions", US_national_yearly!$D:$AM, 25, FALSE) / VLOOKUP("LULUCF|PM25|Respiratory hospital admissions", US_national_yearly!$D:$AM, 10, FALSE), 1)</f>
        <v>4.6863854602141595E-6</v>
      </c>
      <c r="R12" s="7">
        <f>$B12 * IFERROR(VLOOKUP("LULUCF|PM25|Respiratory hospital admissions", US_national_yearly!$D:$AM, 26, FALSE) / VLOOKUP("LULUCF|PM25|Respiratory hospital admissions", US_national_yearly!$D:$AM, 10, FALSE), 1)</f>
        <v>4.7047744190914227E-6</v>
      </c>
      <c r="S12" s="7">
        <f>$B12 * IFERROR(VLOOKUP("LULUCF|PM25|Respiratory hospital admissions", US_national_yearly!$D:$AM, 27, FALSE) / VLOOKUP("LULUCF|PM25|Respiratory hospital admissions", US_national_yearly!$D:$AM, 10, FALSE), 1)</f>
        <v>4.7222831310165218E-6</v>
      </c>
      <c r="T12" s="7">
        <f>$B12 * IFERROR(VLOOKUP("LULUCF|PM25|Respiratory hospital admissions", US_national_yearly!$D:$AM, 28, FALSE) / VLOOKUP("LULUCF|PM25|Respiratory hospital admissions", US_national_yearly!$D:$AM, 10, FALSE), 1)</f>
        <v>4.7397918429416217E-6</v>
      </c>
      <c r="U12" s="7">
        <f>$B12 * IFERROR(VLOOKUP("LULUCF|PM25|Respiratory hospital admissions", US_national_yearly!$D:$AM, 29, FALSE) / VLOOKUP("LULUCF|PM25|Respiratory hospital admissions", US_national_yearly!$D:$AM, 10, FALSE), 1)</f>
        <v>4.75730055486672E-6</v>
      </c>
      <c r="V12" s="7">
        <f>$B12 * IFERROR(VLOOKUP("LULUCF|PM25|Respiratory hospital admissions", US_national_yearly!$D:$AM, 30, FALSE) / VLOOKUP("LULUCF|PM25|Respiratory hospital admissions", US_national_yearly!$D:$AM, 10, FALSE), 1)</f>
        <v>4.7748092667918191E-6</v>
      </c>
      <c r="W12" s="7">
        <f>$B12 * IFERROR(VLOOKUP("LULUCF|PM25|Respiratory hospital admissions", US_national_yearly!$D:$AM, 31, FALSE) / VLOOKUP("LULUCF|PM25|Respiratory hospital admissions", US_national_yearly!$D:$AM, 10, FALSE), 1)</f>
        <v>4.7923179787169181E-6</v>
      </c>
      <c r="X12" s="7">
        <f>$B12 * IFERROR(VLOOKUP("LULUCF|PM25|Respiratory hospital admissions", US_national_yearly!$D:$AM, 32, FALSE) / VLOOKUP("LULUCF|PM25|Respiratory hospital admissions", US_national_yearly!$D:$AM, 10, FALSE), 1)</f>
        <v>4.8091615829329723E-6</v>
      </c>
      <c r="Y12" s="7">
        <f>$B12 * IFERROR(VLOOKUP("LULUCF|PM25|Respiratory hospital admissions", US_national_yearly!$D:$AM, 33, FALSE) / VLOOKUP("LULUCF|PM25|Respiratory hospital admissions", US_national_yearly!$D:$AM, 10, FALSE), 1)</f>
        <v>4.8260051871490248E-6</v>
      </c>
      <c r="Z12" s="7">
        <f>$B12 * IFERROR(VLOOKUP("LULUCF|PM25|Respiratory hospital admissions", US_national_yearly!$D:$AM, 34, FALSE) / VLOOKUP("LULUCF|PM25|Respiratory hospital admissions", US_national_yearly!$D:$AM, 10, FALSE), 1)</f>
        <v>4.8428487913650781E-6</v>
      </c>
      <c r="AA12" s="7">
        <f>$B12 * IFERROR(VLOOKUP("LULUCF|PM25|Respiratory hospital admissions", US_national_yearly!$D:$AM, 35, FALSE) / VLOOKUP("LULUCF|PM25|Respiratory hospital admissions", US_national_yearly!$D:$AM, 10, FALSE), 1)</f>
        <v>4.8596923955811305E-6</v>
      </c>
      <c r="AB12" s="7">
        <f>$B12 * IFERROR(VLOOKUP("LULUCF|PM25|Respiratory hospital admissions", US_national_yearly!$D:$AM, 36, FALSE) / VLOOKUP("LULUCF|PM25|Respiratory hospital admissions", US_national_yearly!$D:$AM, 10, FALSE), 1)</f>
        <v>4.8765359997971838E-6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6.4799945188299437E-6</v>
      </c>
      <c r="C13" s="7">
        <f>$B13 * IFERROR(VLOOKUP("LULUCF|PM25|Non-fatal heart attacks", US_national_yearly!$D:$AM, 11, FALSE) / VLOOKUP("LULUCF|PM25|Non-fatal heart attacks", US_national_yearly!$D:$AM, 10, FALSE), 1)</f>
        <v>6.6683851554297091E-6</v>
      </c>
      <c r="D13" s="7">
        <f>$B13 * IFERROR(VLOOKUP("LULUCF|PM25|Non-fatal heart attacks", US_national_yearly!$D:$AM, 12, FALSE) / VLOOKUP("LULUCF|PM25|Non-fatal heart attacks", US_national_yearly!$D:$AM, 10, FALSE), 1)</f>
        <v>6.8567757920294746E-6</v>
      </c>
      <c r="E13" s="7">
        <f>$B13 * IFERROR(VLOOKUP("LULUCF|PM25|Non-fatal heart attacks", US_national_yearly!$D:$AM, 13, FALSE) / VLOOKUP("LULUCF|PM25|Non-fatal heart attacks", US_national_yearly!$D:$AM, 10, FALSE), 1)</f>
        <v>7.0451664286292393E-6</v>
      </c>
      <c r="F13" s="7">
        <f>$B13 * IFERROR(VLOOKUP("LULUCF|PM25|Non-fatal heart attacks", US_national_yearly!$D:$AM, 14, FALSE) / VLOOKUP("LULUCF|PM25|Non-fatal heart attacks", US_national_yearly!$D:$AM, 10, FALSE), 1)</f>
        <v>7.2335570652290065E-6</v>
      </c>
      <c r="G13" s="7">
        <f>$B13 * IFERROR(VLOOKUP("LULUCF|PM25|Non-fatal heart attacks", US_national_yearly!$D:$AM, 15, FALSE) / VLOOKUP("LULUCF|PM25|Non-fatal heart attacks", US_national_yearly!$D:$AM, 10, FALSE), 1)</f>
        <v>7.4112213453677335E-6</v>
      </c>
      <c r="H13" s="7">
        <f>$B13 * IFERROR(VLOOKUP("LULUCF|PM25|Non-fatal heart attacks", US_national_yearly!$D:$AM, 16, FALSE) / VLOOKUP("LULUCF|PM25|Non-fatal heart attacks", US_national_yearly!$D:$AM, 10, FALSE), 1)</f>
        <v>7.5888856255064598E-6</v>
      </c>
      <c r="I13" s="7">
        <f>$B13 * IFERROR(VLOOKUP("LULUCF|PM25|Non-fatal heart attacks", US_national_yearly!$D:$AM, 17, FALSE) / VLOOKUP("LULUCF|PM25|Non-fatal heart attacks", US_national_yearly!$D:$AM, 10, FALSE), 1)</f>
        <v>7.7316685880594643E-6</v>
      </c>
      <c r="J13" s="7">
        <f>$B13 * IFERROR(VLOOKUP("LULUCF|PM25|Non-fatal heart attacks", US_national_yearly!$D:$AM, 18, FALSE) / VLOOKUP("LULUCF|PM25|Non-fatal heart attacks", US_national_yearly!$D:$AM, 10, FALSE), 1)</f>
        <v>7.8744515506124696E-6</v>
      </c>
      <c r="K13" s="7">
        <f>$B13 * IFERROR(VLOOKUP("LULUCF|PM25|Non-fatal heart attacks", US_national_yearly!$D:$AM, 19, FALSE) / VLOOKUP("LULUCF|PM25|Non-fatal heart attacks", US_national_yearly!$D:$AM, 10, FALSE), 1)</f>
        <v>8.0172345131654766E-6</v>
      </c>
      <c r="L13" s="7">
        <f>$B13 * IFERROR(VLOOKUP("LULUCF|PM25|Non-fatal heart attacks", US_national_yearly!$D:$AM, 20, FALSE) / VLOOKUP("LULUCF|PM25|Non-fatal heart attacks", US_national_yearly!$D:$AM, 10, FALSE), 1)</f>
        <v>8.1600174757184819E-6</v>
      </c>
      <c r="M13" s="7">
        <f>$B13 * IFERROR(VLOOKUP("LULUCF|PM25|Non-fatal heart attacks", US_national_yearly!$D:$AM, 21, FALSE) / VLOOKUP("LULUCF|PM25|Non-fatal heart attacks", US_national_yearly!$D:$AM, 10, FALSE), 1)</f>
        <v>8.3028004382714889E-6</v>
      </c>
      <c r="N13" s="7">
        <f>$B13 * IFERROR(VLOOKUP("LULUCF|PM25|Non-fatal heart attacks", US_national_yearly!$D:$AM, 22, FALSE) / VLOOKUP("LULUCF|PM25|Non-fatal heart attacks", US_national_yearly!$D:$AM, 10, FALSE), 1)</f>
        <v>8.394881349946051E-6</v>
      </c>
      <c r="O13" s="7">
        <f>$B13 * IFERROR(VLOOKUP("LULUCF|PM25|Non-fatal heart attacks", US_national_yearly!$D:$AM, 23, FALSE) / VLOOKUP("LULUCF|PM25|Non-fatal heart attacks", US_national_yearly!$D:$AM, 10, FALSE), 1)</f>
        <v>8.486962261620613E-6</v>
      </c>
      <c r="P13" s="7">
        <f>$B13 * IFERROR(VLOOKUP("LULUCF|PM25|Non-fatal heart attacks", US_national_yearly!$D:$AM, 24, FALSE) / VLOOKUP("LULUCF|PM25|Non-fatal heart attacks", US_national_yearly!$D:$AM, 10, FALSE), 1)</f>
        <v>8.5790431732951767E-6</v>
      </c>
      <c r="Q13" s="7">
        <f>$B13 * IFERROR(VLOOKUP("LULUCF|PM25|Non-fatal heart attacks", US_national_yearly!$D:$AM, 25, FALSE) / VLOOKUP("LULUCF|PM25|Non-fatal heart attacks", US_national_yearly!$D:$AM, 10, FALSE), 1)</f>
        <v>8.6711240849697388E-6</v>
      </c>
      <c r="R13" s="7">
        <f>$B13 * IFERROR(VLOOKUP("LULUCF|PM25|Non-fatal heart attacks", US_national_yearly!$D:$AM, 26, FALSE) / VLOOKUP("LULUCF|PM25|Non-fatal heart attacks", US_national_yearly!$D:$AM, 10, FALSE), 1)</f>
        <v>8.7632049966443008E-6</v>
      </c>
      <c r="S13" s="7">
        <f>$B13 * IFERROR(VLOOKUP("LULUCF|PM25|Non-fatal heart attacks", US_national_yearly!$D:$AM, 27, FALSE) / VLOOKUP("LULUCF|PM25|Non-fatal heart attacks", US_national_yearly!$D:$AM, 10, FALSE), 1)</f>
        <v>8.8116974354636946E-6</v>
      </c>
      <c r="T13" s="7">
        <f>$B13 * IFERROR(VLOOKUP("LULUCF|PM25|Non-fatal heart attacks", US_national_yearly!$D:$AM, 28, FALSE) / VLOOKUP("LULUCF|PM25|Non-fatal heart attacks", US_national_yearly!$D:$AM, 10, FALSE), 1)</f>
        <v>8.8601898742830918E-6</v>
      </c>
      <c r="U13" s="7">
        <f>$B13 * IFERROR(VLOOKUP("LULUCF|PM25|Non-fatal heart attacks", US_national_yearly!$D:$AM, 29, FALSE) / VLOOKUP("LULUCF|PM25|Non-fatal heart attacks", US_national_yearly!$D:$AM, 10, FALSE), 1)</f>
        <v>8.9086823131024872E-6</v>
      </c>
      <c r="V13" s="7">
        <f>$B13 * IFERROR(VLOOKUP("LULUCF|PM25|Non-fatal heart attacks", US_national_yearly!$D:$AM, 30, FALSE) / VLOOKUP("LULUCF|PM25|Non-fatal heart attacks", US_national_yearly!$D:$AM, 10, FALSE), 1)</f>
        <v>8.9571747519218827E-6</v>
      </c>
      <c r="W13" s="7">
        <f>$B13 * IFERROR(VLOOKUP("LULUCF|PM25|Non-fatal heart attacks", US_national_yearly!$D:$AM, 31, FALSE) / VLOOKUP("LULUCF|PM25|Non-fatal heart attacks", US_national_yearly!$D:$AM, 10, FALSE), 1)</f>
        <v>9.0056671907412781E-6</v>
      </c>
      <c r="X13" s="7">
        <f>$B13 * IFERROR(VLOOKUP("LULUCF|PM25|Non-fatal heart attacks", US_national_yearly!$D:$AM, 32, FALSE) / VLOOKUP("LULUCF|PM25|Non-fatal heart attacks", US_national_yearly!$D:$AM, 10, FALSE), 1)</f>
        <v>9.0424799636677437E-6</v>
      </c>
      <c r="Y13" s="7">
        <f>$B13 * IFERROR(VLOOKUP("LULUCF|PM25|Non-fatal heart attacks", US_national_yearly!$D:$AM, 33, FALSE) / VLOOKUP("LULUCF|PM25|Non-fatal heart attacks", US_national_yearly!$D:$AM, 10, FALSE), 1)</f>
        <v>9.0792927365942126E-6</v>
      </c>
      <c r="Z13" s="7">
        <f>$B13 * IFERROR(VLOOKUP("LULUCF|PM25|Non-fatal heart attacks", US_national_yearly!$D:$AM, 34, FALSE) / VLOOKUP("LULUCF|PM25|Non-fatal heart attacks", US_national_yearly!$D:$AM, 10, FALSE), 1)</f>
        <v>9.1161055095206782E-6</v>
      </c>
      <c r="AA13" s="7">
        <f>$B13 * IFERROR(VLOOKUP("LULUCF|PM25|Non-fatal heart attacks", US_national_yearly!$D:$AM, 35, FALSE) / VLOOKUP("LULUCF|PM25|Non-fatal heart attacks", US_national_yearly!$D:$AM, 10, FALSE), 1)</f>
        <v>9.1529182824471471E-6</v>
      </c>
      <c r="AB13" s="7">
        <f>$B13 * IFERROR(VLOOKUP("LULUCF|PM25|Non-fatal heart attacks", US_national_yearly!$D:$AM, 36, FALSE) / VLOOKUP("LULUCF|PM25|Non-fatal heart attacks", US_national_yearly!$D:$AM, 10, FALSE), 1)</f>
        <v>9.1897310553736127E-6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2.7216300746283797E-2</v>
      </c>
      <c r="C14" s="7">
        <f>$B14 * IFERROR(VLOOKUP("LULUCF|PM25|Minor restricted activity days", US_national_yearly!$D:$AM, 11, FALSE) / VLOOKUP("LULUCF|PM25|Minor restricted activity days", US_national_yearly!$D:$AM, 10, FALSE), 1)</f>
        <v>2.7282766180311384E-2</v>
      </c>
      <c r="D14" s="7">
        <f>$B14 * IFERROR(VLOOKUP("LULUCF|PM25|Minor restricted activity days", US_national_yearly!$D:$AM, 12, FALSE) / VLOOKUP("LULUCF|PM25|Minor restricted activity days", US_national_yearly!$D:$AM, 10, FALSE), 1)</f>
        <v>2.7349231614338967E-2</v>
      </c>
      <c r="E14" s="7">
        <f>$B14 * IFERROR(VLOOKUP("LULUCF|PM25|Minor restricted activity days", US_national_yearly!$D:$AM, 13, FALSE) / VLOOKUP("LULUCF|PM25|Minor restricted activity days", US_national_yearly!$D:$AM, 10, FALSE), 1)</f>
        <v>2.741569704836656E-2</v>
      </c>
      <c r="F14" s="7">
        <f>$B14 * IFERROR(VLOOKUP("LULUCF|PM25|Minor restricted activity days", US_national_yearly!$D:$AM, 14, FALSE) / VLOOKUP("LULUCF|PM25|Minor restricted activity days", US_national_yearly!$D:$AM, 10, FALSE), 1)</f>
        <v>2.7482162482394139E-2</v>
      </c>
      <c r="G14" s="7">
        <f>$B14 * IFERROR(VLOOKUP("LULUCF|PM25|Minor restricted activity days", US_national_yearly!$D:$AM, 15, FALSE) / VLOOKUP("LULUCF|PM25|Minor restricted activity days", US_national_yearly!$D:$AM, 10, FALSE), 1)</f>
        <v>2.7580230241163774E-2</v>
      </c>
      <c r="H14" s="7">
        <f>$B14 * IFERROR(VLOOKUP("LULUCF|PM25|Minor restricted activity days", US_national_yearly!$D:$AM, 16, FALSE) / VLOOKUP("LULUCF|PM25|Minor restricted activity days", US_national_yearly!$D:$AM, 10, FALSE), 1)</f>
        <v>2.7678297999933411E-2</v>
      </c>
      <c r="I14" s="7">
        <f>$B14 * IFERROR(VLOOKUP("LULUCF|PM25|Minor restricted activity days", US_national_yearly!$D:$AM, 17, FALSE) / VLOOKUP("LULUCF|PM25|Minor restricted activity days", US_national_yearly!$D:$AM, 10, FALSE), 1)</f>
        <v>2.7845948959342188E-2</v>
      </c>
      <c r="J14" s="7">
        <f>$B14 * IFERROR(VLOOKUP("LULUCF|PM25|Minor restricted activity days", US_national_yearly!$D:$AM, 18, FALSE) / VLOOKUP("LULUCF|PM25|Minor restricted activity days", US_national_yearly!$D:$AM, 10, FALSE), 1)</f>
        <v>2.801359991875095E-2</v>
      </c>
      <c r="K14" s="7">
        <f>$B14 * IFERROR(VLOOKUP("LULUCF|PM25|Minor restricted activity days", US_national_yearly!$D:$AM, 19, FALSE) / VLOOKUP("LULUCF|PM25|Minor restricted activity days", US_national_yearly!$D:$AM, 10, FALSE), 1)</f>
        <v>2.8181250878159723E-2</v>
      </c>
      <c r="L14" s="7">
        <f>$B14 * IFERROR(VLOOKUP("LULUCF|PM25|Minor restricted activity days", US_national_yearly!$D:$AM, 20, FALSE) / VLOOKUP("LULUCF|PM25|Minor restricted activity days", US_national_yearly!$D:$AM, 10, FALSE), 1)</f>
        <v>2.8348901837568493E-2</v>
      </c>
      <c r="M14" s="7">
        <f>$B14 * IFERROR(VLOOKUP("LULUCF|PM25|Minor restricted activity days", US_national_yearly!$D:$AM, 21, FALSE) / VLOOKUP("LULUCF|PM25|Minor restricted activity days", US_national_yearly!$D:$AM, 10, FALSE), 1)</f>
        <v>2.8516552796977263E-2</v>
      </c>
      <c r="N14" s="7">
        <f>$B14 * IFERROR(VLOOKUP("LULUCF|PM25|Minor restricted activity days", US_national_yearly!$D:$AM, 22, FALSE) / VLOOKUP("LULUCF|PM25|Minor restricted activity days", US_national_yearly!$D:$AM, 10, FALSE), 1)</f>
        <v>2.8744926782938666E-2</v>
      </c>
      <c r="O14" s="7">
        <f>$B14 * IFERROR(VLOOKUP("LULUCF|PM25|Minor restricted activity days", US_national_yearly!$D:$AM, 23, FALSE) / VLOOKUP("LULUCF|PM25|Minor restricted activity days", US_national_yearly!$D:$AM, 10, FALSE), 1)</f>
        <v>2.8973300768900062E-2</v>
      </c>
      <c r="P14" s="7">
        <f>$B14 * IFERROR(VLOOKUP("LULUCF|PM25|Minor restricted activity days", US_national_yearly!$D:$AM, 24, FALSE) / VLOOKUP("LULUCF|PM25|Minor restricted activity days", US_national_yearly!$D:$AM, 10, FALSE), 1)</f>
        <v>2.9201674754861462E-2</v>
      </c>
      <c r="Q14" s="7">
        <f>$B14 * IFERROR(VLOOKUP("LULUCF|PM25|Minor restricted activity days", US_national_yearly!$D:$AM, 25, FALSE) / VLOOKUP("LULUCF|PM25|Minor restricted activity days", US_national_yearly!$D:$AM, 10, FALSE), 1)</f>
        <v>2.9430048740822858E-2</v>
      </c>
      <c r="R14" s="7">
        <f>$B14 * IFERROR(VLOOKUP("LULUCF|PM25|Minor restricted activity days", US_national_yearly!$D:$AM, 26, FALSE) / VLOOKUP("LULUCF|PM25|Minor restricted activity days", US_national_yearly!$D:$AM, 10, FALSE), 1)</f>
        <v>2.9658422726784255E-2</v>
      </c>
      <c r="S14" s="7">
        <f>$B14 * IFERROR(VLOOKUP("LULUCF|PM25|Minor restricted activity days", US_national_yearly!$D:$AM, 27, FALSE) / VLOOKUP("LULUCF|PM25|Minor restricted activity days", US_national_yearly!$D:$AM, 10, FALSE), 1)</f>
        <v>2.9888369449553517E-2</v>
      </c>
      <c r="T14" s="7">
        <f>$B14 * IFERROR(VLOOKUP("LULUCF|PM25|Minor restricted activity days", US_national_yearly!$D:$AM, 28, FALSE) / VLOOKUP("LULUCF|PM25|Minor restricted activity days", US_national_yearly!$D:$AM, 10, FALSE), 1)</f>
        <v>3.0118316172322784E-2</v>
      </c>
      <c r="U14" s="7">
        <f>$B14 * IFERROR(VLOOKUP("LULUCF|PM25|Minor restricted activity days", US_national_yearly!$D:$AM, 29, FALSE) / VLOOKUP("LULUCF|PM25|Minor restricted activity days", US_national_yearly!$D:$AM, 10, FALSE), 1)</f>
        <v>3.034826289509205E-2</v>
      </c>
      <c r="V14" s="7">
        <f>$B14 * IFERROR(VLOOKUP("LULUCF|PM25|Minor restricted activity days", US_national_yearly!$D:$AM, 30, FALSE) / VLOOKUP("LULUCF|PM25|Minor restricted activity days", US_national_yearly!$D:$AM, 10, FALSE), 1)</f>
        <v>3.0578209617861313E-2</v>
      </c>
      <c r="W14" s="7">
        <f>$B14 * IFERROR(VLOOKUP("LULUCF|PM25|Minor restricted activity days", US_national_yearly!$D:$AM, 31, FALSE) / VLOOKUP("LULUCF|PM25|Minor restricted activity days", US_national_yearly!$D:$AM, 10, FALSE), 1)</f>
        <v>3.0808156340630579E-2</v>
      </c>
      <c r="X14" s="7">
        <f>$B14 * IFERROR(VLOOKUP("LULUCF|PM25|Minor restricted activity days", US_national_yearly!$D:$AM, 32, FALSE) / VLOOKUP("LULUCF|PM25|Minor restricted activity days", US_national_yearly!$D:$AM, 10, FALSE), 1)</f>
        <v>3.1007773229074744E-2</v>
      </c>
      <c r="Y14" s="7">
        <f>$B14 * IFERROR(VLOOKUP("LULUCF|PM25|Minor restricted activity days", US_national_yearly!$D:$AM, 33, FALSE) / VLOOKUP("LULUCF|PM25|Minor restricted activity days", US_national_yearly!$D:$AM, 10, FALSE), 1)</f>
        <v>3.1207390117518909E-2</v>
      </c>
      <c r="Z14" s="7">
        <f>$B14 * IFERROR(VLOOKUP("LULUCF|PM25|Minor restricted activity days", US_national_yearly!$D:$AM, 34, FALSE) / VLOOKUP("LULUCF|PM25|Minor restricted activity days", US_national_yearly!$D:$AM, 10, FALSE), 1)</f>
        <v>3.1407007005963078E-2</v>
      </c>
      <c r="AA14" s="7">
        <f>$B14 * IFERROR(VLOOKUP("LULUCF|PM25|Minor restricted activity days", US_national_yearly!$D:$AM, 35, FALSE) / VLOOKUP("LULUCF|PM25|Minor restricted activity days", US_national_yearly!$D:$AM, 10, FALSE), 1)</f>
        <v>3.1606623894407236E-2</v>
      </c>
      <c r="AB14" s="7">
        <f>$B14 * IFERROR(VLOOKUP("LULUCF|PM25|Minor restricted activity days", US_national_yearly!$D:$AM, 36, FALSE) / VLOOKUP("LULUCF|PM25|Minor restricted activity days", US_national_yearly!$D:$AM, 10, FALSE), 1)</f>
        <v>3.1806240782851401E-2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4.6058011414330854E-3</v>
      </c>
      <c r="C15" s="7">
        <f>$B15 * IFERROR(VLOOKUP("LULUCF|PM25|Work loss days", US_national_yearly!$D:$AM, 11, FALSE) / VLOOKUP("LULUCF|PM25|Work loss days", US_national_yearly!$D:$AM, 10, FALSE), 1)</f>
        <v>4.6200774660964681E-3</v>
      </c>
      <c r="D15" s="7">
        <f>$B15 * IFERROR(VLOOKUP("LULUCF|PM25|Work loss days", US_national_yearly!$D:$AM, 12, FALSE) / VLOOKUP("LULUCF|PM25|Work loss days", US_national_yearly!$D:$AM, 10, FALSE), 1)</f>
        <v>4.6343537907598516E-3</v>
      </c>
      <c r="E15" s="7">
        <f>$B15 * IFERROR(VLOOKUP("LULUCF|PM25|Work loss days", US_national_yearly!$D:$AM, 13, FALSE) / VLOOKUP("LULUCF|PM25|Work loss days", US_national_yearly!$D:$AM, 10, FALSE), 1)</f>
        <v>4.6486301154232334E-3</v>
      </c>
      <c r="F15" s="7">
        <f>$B15 * IFERROR(VLOOKUP("LULUCF|PM25|Work loss days", US_national_yearly!$D:$AM, 14, FALSE) / VLOOKUP("LULUCF|PM25|Work loss days", US_national_yearly!$D:$AM, 10, FALSE), 1)</f>
        <v>4.6629064400866161E-3</v>
      </c>
      <c r="G15" s="7">
        <f>$B15 * IFERROR(VLOOKUP("LULUCF|PM25|Work loss days", US_national_yearly!$D:$AM, 15, FALSE) / VLOOKUP("LULUCF|PM25|Work loss days", US_national_yearly!$D:$AM, 10, FALSE), 1)</f>
        <v>4.68162361270628E-3</v>
      </c>
      <c r="H15" s="7">
        <f>$B15 * IFERROR(VLOOKUP("LULUCF|PM25|Work loss days", US_national_yearly!$D:$AM, 16, FALSE) / VLOOKUP("LULUCF|PM25|Work loss days", US_national_yearly!$D:$AM, 10, FALSE), 1)</f>
        <v>4.7003407853259448E-3</v>
      </c>
      <c r="I15" s="7">
        <f>$B15 * IFERROR(VLOOKUP("LULUCF|PM25|Work loss days", US_national_yearly!$D:$AM, 17, FALSE) / VLOOKUP("LULUCF|PM25|Work loss days", US_national_yearly!$D:$AM, 10, FALSE), 1)</f>
        <v>4.727903880614906E-3</v>
      </c>
      <c r="J15" s="7">
        <f>$B15 * IFERROR(VLOOKUP("LULUCF|PM25|Work loss days", US_national_yearly!$D:$AM, 18, FALSE) / VLOOKUP("LULUCF|PM25|Work loss days", US_national_yearly!$D:$AM, 10, FALSE), 1)</f>
        <v>4.7554669759038671E-3</v>
      </c>
      <c r="K15" s="7">
        <f>$B15 * IFERROR(VLOOKUP("LULUCF|PM25|Work loss days", US_national_yearly!$D:$AM, 19, FALSE) / VLOOKUP("LULUCF|PM25|Work loss days", US_national_yearly!$D:$AM, 10, FALSE), 1)</f>
        <v>4.7830300711928292E-3</v>
      </c>
      <c r="L15" s="7">
        <f>$B15 * IFERROR(VLOOKUP("LULUCF|PM25|Work loss days", US_national_yearly!$D:$AM, 20, FALSE) / VLOOKUP("LULUCF|PM25|Work loss days", US_national_yearly!$D:$AM, 10, FALSE), 1)</f>
        <v>4.8105931664817903E-3</v>
      </c>
      <c r="M15" s="7">
        <f>$B15 * IFERROR(VLOOKUP("LULUCF|PM25|Work loss days", US_national_yearly!$D:$AM, 21, FALSE) / VLOOKUP("LULUCF|PM25|Work loss days", US_national_yearly!$D:$AM, 10, FALSE), 1)</f>
        <v>4.8381562617707524E-3</v>
      </c>
      <c r="N15" s="7">
        <f>$B15 * IFERROR(VLOOKUP("LULUCF|PM25|Work loss days", US_national_yearly!$D:$AM, 22, FALSE) / VLOOKUP("LULUCF|PM25|Work loss days", US_national_yearly!$D:$AM, 10, FALSE), 1)</f>
        <v>4.8728465034095468E-3</v>
      </c>
      <c r="O15" s="7">
        <f>$B15 * IFERROR(VLOOKUP("LULUCF|PM25|Work loss days", US_national_yearly!$D:$AM, 23, FALSE) / VLOOKUP("LULUCF|PM25|Work loss days", US_national_yearly!$D:$AM, 10, FALSE), 1)</f>
        <v>4.9075367450483404E-3</v>
      </c>
      <c r="P15" s="7">
        <f>$B15 * IFERROR(VLOOKUP("LULUCF|PM25|Work loss days", US_national_yearly!$D:$AM, 24, FALSE) / VLOOKUP("LULUCF|PM25|Work loss days", US_national_yearly!$D:$AM, 10, FALSE), 1)</f>
        <v>4.9422269866871349E-3</v>
      </c>
      <c r="Q15" s="7">
        <f>$B15 * IFERROR(VLOOKUP("LULUCF|PM25|Work loss days", US_national_yearly!$D:$AM, 25, FALSE) / VLOOKUP("LULUCF|PM25|Work loss days", US_national_yearly!$D:$AM, 10, FALSE), 1)</f>
        <v>4.9769172283259284E-3</v>
      </c>
      <c r="R15" s="7">
        <f>$B15 * IFERROR(VLOOKUP("LULUCF|PM25|Work loss days", US_national_yearly!$D:$AM, 26, FALSE) / VLOOKUP("LULUCF|PM25|Work loss days", US_national_yearly!$D:$AM, 10, FALSE), 1)</f>
        <v>5.0116074699647238E-3</v>
      </c>
      <c r="S15" s="7">
        <f>$B15 * IFERROR(VLOOKUP("LULUCF|PM25|Work loss days", US_national_yearly!$D:$AM, 27, FALSE) / VLOOKUP("LULUCF|PM25|Work loss days", US_national_yearly!$D:$AM, 10, FALSE), 1)</f>
        <v>5.049976358263434E-3</v>
      </c>
      <c r="T15" s="7">
        <f>$B15 * IFERROR(VLOOKUP("LULUCF|PM25|Work loss days", US_national_yearly!$D:$AM, 28, FALSE) / VLOOKUP("LULUCF|PM25|Work loss days", US_national_yearly!$D:$AM, 10, FALSE), 1)</f>
        <v>5.0883452465621459E-3</v>
      </c>
      <c r="U15" s="7">
        <f>$B15 * IFERROR(VLOOKUP("LULUCF|PM25|Work loss days", US_national_yearly!$D:$AM, 29, FALSE) / VLOOKUP("LULUCF|PM25|Work loss days", US_national_yearly!$D:$AM, 10, FALSE), 1)</f>
        <v>5.1267141348608552E-3</v>
      </c>
      <c r="V15" s="7">
        <f>$B15 * IFERROR(VLOOKUP("LULUCF|PM25|Work loss days", US_national_yearly!$D:$AM, 30, FALSE) / VLOOKUP("LULUCF|PM25|Work loss days", US_national_yearly!$D:$AM, 10, FALSE), 1)</f>
        <v>5.1650830231595663E-3</v>
      </c>
      <c r="W15" s="7">
        <f>$B15 * IFERROR(VLOOKUP("LULUCF|PM25|Work loss days", US_national_yearly!$D:$AM, 31, FALSE) / VLOOKUP("LULUCF|PM25|Work loss days", US_national_yearly!$D:$AM, 10, FALSE), 1)</f>
        <v>5.2034519114582773E-3</v>
      </c>
      <c r="X15" s="7">
        <f>$B15 * IFERROR(VLOOKUP("LULUCF|PM25|Work loss days", US_national_yearly!$D:$AM, 32, FALSE) / VLOOKUP("LULUCF|PM25|Work loss days", US_national_yearly!$D:$AM, 10, FALSE), 1)</f>
        <v>5.2374954636073947E-3</v>
      </c>
      <c r="Y15" s="7">
        <f>$B15 * IFERROR(VLOOKUP("LULUCF|PM25|Work loss days", US_national_yearly!$D:$AM, 33, FALSE) / VLOOKUP("LULUCF|PM25|Work loss days", US_national_yearly!$D:$AM, 10, FALSE), 1)</f>
        <v>5.271539015756512E-3</v>
      </c>
      <c r="Z15" s="7">
        <f>$B15 * IFERROR(VLOOKUP("LULUCF|PM25|Work loss days", US_national_yearly!$D:$AM, 34, FALSE) / VLOOKUP("LULUCF|PM25|Work loss days", US_national_yearly!$D:$AM, 10, FALSE), 1)</f>
        <v>5.305582567905631E-3</v>
      </c>
      <c r="AA15" s="7">
        <f>$B15 * IFERROR(VLOOKUP("LULUCF|PM25|Work loss days", US_national_yearly!$D:$AM, 35, FALSE) / VLOOKUP("LULUCF|PM25|Work loss days", US_national_yearly!$D:$AM, 10, FALSE), 1)</f>
        <v>5.3396261200547492E-3</v>
      </c>
      <c r="AB15" s="7">
        <f>$B15 * IFERROR(VLOOKUP("LULUCF|PM25|Work loss days", US_national_yearly!$D:$AM, 36, FALSE) / VLOOKUP("LULUCF|PM25|Work loss days", US_national_yearly!$D:$AM, 10, FALSE), 1)</f>
        <v>5.3736696722038665E-3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7.4661661606610421E-6</v>
      </c>
      <c r="C17" s="7">
        <f>$B17 * IFERROR(VLOOKUP("LULUCF|PM25|Cardiovascular hospital admissions", US_national_yearly!$D:$AM, 11, FALSE) / VLOOKUP("LULUCF|PM25|Cardiovascular hospital admissions", US_national_yearly!$D:$AM, 10, FALSE), 1)</f>
        <v>7.6892604118251082E-6</v>
      </c>
      <c r="D17" s="7">
        <f>$B17 * IFERROR(VLOOKUP("LULUCF|PM25|Cardiovascular hospital admissions", US_national_yearly!$D:$AM, 12, FALSE) / VLOOKUP("LULUCF|PM25|Cardiovascular hospital admissions", US_national_yearly!$D:$AM, 10, FALSE), 1)</f>
        <v>7.9123546629891777E-6</v>
      </c>
      <c r="E17" s="7">
        <f>$B17 * IFERROR(VLOOKUP("LULUCF|PM25|Cardiovascular hospital admissions", US_national_yearly!$D:$AM, 13, FALSE) / VLOOKUP("LULUCF|PM25|Cardiovascular hospital admissions", US_national_yearly!$D:$AM, 10, FALSE), 1)</f>
        <v>8.1354489141532455E-6</v>
      </c>
      <c r="F17" s="7">
        <f>$B17 * IFERROR(VLOOKUP("LULUCF|PM25|Cardiovascular hospital admissions", US_national_yearly!$D:$AM, 14, FALSE) / VLOOKUP("LULUCF|PM25|Cardiovascular hospital admissions", US_national_yearly!$D:$AM, 10, FALSE), 1)</f>
        <v>8.3585431653173132E-6</v>
      </c>
      <c r="G17" s="7">
        <f>$B17 * IFERROR(VLOOKUP("LULUCF|PM25|Cardiovascular hospital admissions", US_national_yearly!$D:$AM, 15, FALSE) / VLOOKUP("LULUCF|PM25|Cardiovascular hospital admissions", US_national_yearly!$D:$AM, 10, FALSE), 1)</f>
        <v>8.5722276073313472E-6</v>
      </c>
      <c r="H17" s="7">
        <f>$B17 * IFERROR(VLOOKUP("LULUCF|PM25|Cardiovascular hospital admissions", US_national_yearly!$D:$AM, 16, FALSE) / VLOOKUP("LULUCF|PM25|Cardiovascular hospital admissions", US_national_yearly!$D:$AM, 10, FALSE), 1)</f>
        <v>8.7859120493453828E-6</v>
      </c>
      <c r="I17" s="7">
        <f>$B17 * IFERROR(VLOOKUP("LULUCF|PM25|Cardiovascular hospital admissions", US_national_yearly!$D:$AM, 17, FALSE) / VLOOKUP("LULUCF|PM25|Cardiovascular hospital admissions", US_national_yearly!$D:$AM, 10, FALSE), 1)</f>
        <v>8.9686667159019417E-6</v>
      </c>
      <c r="J17" s="7">
        <f>$B17 * IFERROR(VLOOKUP("LULUCF|PM25|Cardiovascular hospital admissions", US_national_yearly!$D:$AM, 18, FALSE) / VLOOKUP("LULUCF|PM25|Cardiovascular hospital admissions", US_national_yearly!$D:$AM, 10, FALSE), 1)</f>
        <v>9.1514213824584989E-6</v>
      </c>
      <c r="K17" s="7">
        <f>$B17 * IFERROR(VLOOKUP("LULUCF|PM25|Cardiovascular hospital admissions", US_national_yearly!$D:$AM, 19, FALSE) / VLOOKUP("LULUCF|PM25|Cardiovascular hospital admissions", US_national_yearly!$D:$AM, 10, FALSE), 1)</f>
        <v>9.3341760490150562E-6</v>
      </c>
      <c r="L17" s="7">
        <f>$B17 * IFERROR(VLOOKUP("LULUCF|PM25|Cardiovascular hospital admissions", US_national_yearly!$D:$AM, 20, FALSE) / VLOOKUP("LULUCF|PM25|Cardiovascular hospital admissions", US_national_yearly!$D:$AM, 10, FALSE), 1)</f>
        <v>9.5169307155716168E-6</v>
      </c>
      <c r="M17" s="7">
        <f>$B17 * IFERROR(VLOOKUP("LULUCF|PM25|Cardiovascular hospital admissions", US_national_yearly!$D:$AM, 21, FALSE) / VLOOKUP("LULUCF|PM25|Cardiovascular hospital admissions", US_national_yearly!$D:$AM, 10, FALSE), 1)</f>
        <v>9.6996853821281758E-6</v>
      </c>
      <c r="N17" s="7">
        <f>$B17 * IFERROR(VLOOKUP("LULUCF|PM25|Cardiovascular hospital admissions", US_national_yearly!$D:$AM, 22, FALSE) / VLOOKUP("LULUCF|PM25|Cardiovascular hospital admissions", US_national_yearly!$D:$AM, 10, FALSE), 1)</f>
        <v>9.8215320908541057E-6</v>
      </c>
      <c r="O17" s="7">
        <f>$B17 * IFERROR(VLOOKUP("LULUCF|PM25|Cardiovascular hospital admissions", US_national_yearly!$D:$AM, 23, FALSE) / VLOOKUP("LULUCF|PM25|Cardiovascular hospital admissions", US_national_yearly!$D:$AM, 10, FALSE), 1)</f>
        <v>9.9433787995800374E-6</v>
      </c>
      <c r="P17" s="7">
        <f>$B17 * IFERROR(VLOOKUP("LULUCF|PM25|Cardiovascular hospital admissions", US_national_yearly!$D:$AM, 24, FALSE) / VLOOKUP("LULUCF|PM25|Cardiovascular hospital admissions", US_national_yearly!$D:$AM, 10, FALSE), 1)</f>
        <v>1.0065225508305967E-5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1.0187072217031899E-5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1.0308918925757829E-5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1.0373387210412797E-5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1.0437855495067763E-5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1.0502323779722726E-5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1.0566792064377692E-5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1.0631260349032658E-5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1.0674661246276272E-5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1.0718062143519885E-5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1.0761463040763499E-5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1.0804863938007111E-5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1.0848264835250725E-5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9.8398579559250853E-5</v>
      </c>
      <c r="C2" s="7">
        <f>$B2 * IFERROR(VLOOKUP("LULUCF|NOx|Premature mortality", US_national_yearly!$D:$AM, 11, FALSE) / VLOOKUP("LULUCF|NOx|Premature mortality", US_national_yearly!$D:$AM, 10, FALSE), 1)</f>
        <v>9.9843888374455107E-5</v>
      </c>
      <c r="D2" s="7">
        <f>$B2 * IFERROR(VLOOKUP("LULUCF|NOx|Premature mortality", US_national_yearly!$D:$AM, 12, FALSE) / VLOOKUP("LULUCF|NOx|Premature mortality", US_national_yearly!$D:$AM, 10, FALSE), 1)</f>
        <v>1.0128919718965935E-4</v>
      </c>
      <c r="E2" s="7">
        <f>$B2 * IFERROR(VLOOKUP("LULUCF|NOx|Premature mortality", US_national_yearly!$D:$AM, 13, FALSE) / VLOOKUP("LULUCF|NOx|Premature mortality", US_national_yearly!$D:$AM, 10, FALSE), 1)</f>
        <v>1.027345060048636E-4</v>
      </c>
      <c r="F2" s="7">
        <f>$B2 * IFERROR(VLOOKUP("LULUCF|NOx|Premature mortality", US_national_yearly!$D:$AM, 14, FALSE) / VLOOKUP("LULUCF|NOx|Premature mortality", US_national_yearly!$D:$AM, 10, FALSE), 1)</f>
        <v>1.0417981482006786E-4</v>
      </c>
      <c r="G2" s="7">
        <f>$B2 * IFERROR(VLOOKUP("LULUCF|NOx|Premature mortality", US_national_yearly!$D:$AM, 15, FALSE) / VLOOKUP("LULUCF|NOx|Premature mortality", US_national_yearly!$D:$AM, 10, FALSE), 1)</f>
        <v>1.0677593115816133E-4</v>
      </c>
      <c r="H2" s="7">
        <f>$B2 * IFERROR(VLOOKUP("LULUCF|NOx|Premature mortality", US_national_yearly!$D:$AM, 16, FALSE) / VLOOKUP("LULUCF|NOx|Premature mortality", US_national_yearly!$D:$AM, 10, FALSE), 1)</f>
        <v>1.0937204749625484E-4</v>
      </c>
      <c r="I2" s="7">
        <f>$B2 * IFERROR(VLOOKUP("LULUCF|NOx|Premature mortality", US_national_yearly!$D:$AM, 17, FALSE) / VLOOKUP("LULUCF|NOx|Premature mortality", US_national_yearly!$D:$AM, 10, FALSE), 1)</f>
        <v>1.110478898372774E-4</v>
      </c>
      <c r="J2" s="7">
        <f>$B2 * IFERROR(VLOOKUP("LULUCF|NOx|Premature mortality", US_national_yearly!$D:$AM, 18, FALSE) / VLOOKUP("LULUCF|NOx|Premature mortality", US_national_yearly!$D:$AM, 10, FALSE), 1)</f>
        <v>1.1272373217829998E-4</v>
      </c>
      <c r="K2" s="7">
        <f>$B2 * IFERROR(VLOOKUP("LULUCF|NOx|Premature mortality", US_national_yearly!$D:$AM, 19, FALSE) / VLOOKUP("LULUCF|NOx|Premature mortality", US_national_yearly!$D:$AM, 10, FALSE), 1)</f>
        <v>1.1439957451932254E-4</v>
      </c>
      <c r="L2" s="7">
        <f>$B2 * IFERROR(VLOOKUP("LULUCF|NOx|Premature mortality", US_national_yearly!$D:$AM, 20, FALSE) / VLOOKUP("LULUCF|NOx|Premature mortality", US_national_yearly!$D:$AM, 10, FALSE), 1)</f>
        <v>1.160754168603451E-4</v>
      </c>
      <c r="M2" s="7">
        <f>$B2 * IFERROR(VLOOKUP("LULUCF|NOx|Premature mortality", US_national_yearly!$D:$AM, 21, FALSE) / VLOOKUP("LULUCF|NOx|Premature mortality", US_national_yearly!$D:$AM, 10, FALSE), 1)</f>
        <v>1.1775125920136769E-4</v>
      </c>
      <c r="N2" s="7">
        <f>$B2 * IFERROR(VLOOKUP("LULUCF|NOx|Premature mortality", US_national_yearly!$D:$AM, 22, FALSE) / VLOOKUP("LULUCF|NOx|Premature mortality", US_national_yearly!$D:$AM, 10, FALSE), 1)</f>
        <v>1.1899271669268688E-4</v>
      </c>
      <c r="O2" s="7">
        <f>$B2 * IFERROR(VLOOKUP("LULUCF|NOx|Premature mortality", US_national_yearly!$D:$AM, 23, FALSE) / VLOOKUP("LULUCF|NOx|Premature mortality", US_national_yearly!$D:$AM, 10, FALSE), 1)</f>
        <v>1.2023417418400606E-4</v>
      </c>
      <c r="P2" s="7">
        <f>$B2 * IFERROR(VLOOKUP("LULUCF|NOx|Premature mortality", US_national_yearly!$D:$AM, 24, FALSE) / VLOOKUP("LULUCF|NOx|Premature mortality", US_national_yearly!$D:$AM, 10, FALSE), 1)</f>
        <v>1.2147563167532524E-4</v>
      </c>
      <c r="Q2" s="7">
        <f>$B2 * IFERROR(VLOOKUP("LULUCF|NOx|Premature mortality", US_national_yearly!$D:$AM, 25, FALSE) / VLOOKUP("LULUCF|NOx|Premature mortality", US_national_yearly!$D:$AM, 10, FALSE), 1)</f>
        <v>1.2271708916664444E-4</v>
      </c>
      <c r="R2" s="7">
        <f>$B2 * IFERROR(VLOOKUP("LULUCF|NOx|Premature mortality", US_national_yearly!$D:$AM, 26, FALSE) / VLOOKUP("LULUCF|NOx|Premature mortality", US_national_yearly!$D:$AM, 10, FALSE), 1)</f>
        <v>1.2395854665796363E-4</v>
      </c>
      <c r="S2" s="7">
        <f>$B2 * IFERROR(VLOOKUP("LULUCF|NOx|Premature mortality", US_national_yearly!$D:$AM, 27, FALSE) / VLOOKUP("LULUCF|NOx|Premature mortality", US_national_yearly!$D:$AM, 10, FALSE), 1)</f>
        <v>1.2452280158907901E-4</v>
      </c>
      <c r="T2" s="7">
        <f>$B2 * IFERROR(VLOOKUP("LULUCF|NOx|Premature mortality", US_national_yearly!$D:$AM, 28, FALSE) / VLOOKUP("LULUCF|NOx|Premature mortality", US_national_yearly!$D:$AM, 10, FALSE), 1)</f>
        <v>1.2508705652019441E-4</v>
      </c>
      <c r="U2" s="7">
        <f>$B2 * IFERROR(VLOOKUP("LULUCF|NOx|Premature mortality", US_national_yearly!$D:$AM, 29, FALSE) / VLOOKUP("LULUCF|NOx|Premature mortality", US_national_yearly!$D:$AM, 10, FALSE), 1)</f>
        <v>1.2565131145130976E-4</v>
      </c>
      <c r="V2" s="7">
        <f>$B2 * IFERROR(VLOOKUP("LULUCF|NOx|Premature mortality", US_national_yearly!$D:$AM, 30, FALSE) / VLOOKUP("LULUCF|NOx|Premature mortality", US_national_yearly!$D:$AM, 10, FALSE), 1)</f>
        <v>1.2621556638242514E-4</v>
      </c>
      <c r="W2" s="7">
        <f>$B2 * IFERROR(VLOOKUP("LULUCF|NOx|Premature mortality", US_national_yearly!$D:$AM, 31, FALSE) / VLOOKUP("LULUCF|NOx|Premature mortality", US_national_yearly!$D:$AM, 10, FALSE), 1)</f>
        <v>1.2677982131354055E-4</v>
      </c>
      <c r="X2" s="7">
        <f>$B2 * IFERROR(VLOOKUP("LULUCF|NOx|Premature mortality", US_national_yearly!$D:$AM, 32, FALSE) / VLOOKUP("LULUCF|NOx|Premature mortality", US_national_yearly!$D:$AM, 10, FALSE), 1)</f>
        <v>1.2679936678046947E-4</v>
      </c>
      <c r="Y2" s="7">
        <f>$B2 * IFERROR(VLOOKUP("LULUCF|NOx|Premature mortality", US_national_yearly!$D:$AM, 33, FALSE) / VLOOKUP("LULUCF|NOx|Premature mortality", US_national_yearly!$D:$AM, 10, FALSE), 1)</f>
        <v>1.2681891224739837E-4</v>
      </c>
      <c r="Z2" s="7">
        <f>$B2 * IFERROR(VLOOKUP("LULUCF|NOx|Premature mortality", US_national_yearly!$D:$AM, 34, FALSE) / VLOOKUP("LULUCF|NOx|Premature mortality", US_national_yearly!$D:$AM, 10, FALSE), 1)</f>
        <v>1.2683845771432726E-4</v>
      </c>
      <c r="AA2" s="7">
        <f>$B2 * IFERROR(VLOOKUP("LULUCF|NOx|Premature mortality", US_national_yearly!$D:$AM, 35, FALSE) / VLOOKUP("LULUCF|NOx|Premature mortality", US_national_yearly!$D:$AM, 10, FALSE), 1)</f>
        <v>1.2685800318125621E-4</v>
      </c>
      <c r="AB2" s="7">
        <f>$B2 * IFERROR(VLOOKUP("LULUCF|NOx|Premature mortality", US_national_yearly!$D:$AM, 36, FALSE) / VLOOKUP("LULUCF|NOx|Premature mortality", US_national_yearly!$D:$AM, 10, FALSE), 1)</f>
        <v>1.2687754864818514E-4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2.0156136309736618E-7</v>
      </c>
      <c r="C3" s="7">
        <f>$B3 * IFERROR(VLOOKUP("LULUCF|NOx|Infant mortality", US_national_yearly!$D:$AM, 11, FALSE) / VLOOKUP("LULUCF|NOx|Infant mortality", US_national_yearly!$D:$AM, 10, FALSE), 1)</f>
        <v>1.9964097750275628E-7</v>
      </c>
      <c r="D3" s="7">
        <f>$B3 * IFERROR(VLOOKUP("LULUCF|NOx|Infant mortality", US_national_yearly!$D:$AM, 12, FALSE) / VLOOKUP("LULUCF|NOx|Infant mortality", US_national_yearly!$D:$AM, 10, FALSE), 1)</f>
        <v>1.9772059190814632E-7</v>
      </c>
      <c r="E3" s="7">
        <f>$B3 * IFERROR(VLOOKUP("LULUCF|NOx|Infant mortality", US_national_yearly!$D:$AM, 13, FALSE) / VLOOKUP("LULUCF|NOx|Infant mortality", US_national_yearly!$D:$AM, 10, FALSE), 1)</f>
        <v>1.9580020631353642E-7</v>
      </c>
      <c r="F3" s="7">
        <f>$B3 * IFERROR(VLOOKUP("LULUCF|NOx|Infant mortality", US_national_yearly!$D:$AM, 14, FALSE) / VLOOKUP("LULUCF|NOx|Infant mortality", US_national_yearly!$D:$AM, 10, FALSE), 1)</f>
        <v>1.9387982071892651E-7</v>
      </c>
      <c r="G3" s="7">
        <f>$B3 * IFERROR(VLOOKUP("LULUCF|NOx|Infant mortality", US_national_yearly!$D:$AM, 15, FALSE) / VLOOKUP("LULUCF|NOx|Infant mortality", US_national_yearly!$D:$AM, 10, FALSE), 1)</f>
        <v>1.2870699896928535E-7</v>
      </c>
      <c r="H3" s="7">
        <f>$B3 * IFERROR(VLOOKUP("LULUCF|NOx|Infant mortality", US_national_yearly!$D:$AM, 16, FALSE) / VLOOKUP("LULUCF|NOx|Infant mortality", US_national_yearly!$D:$AM, 10, FALSE), 1)</f>
        <v>6.3534177219644231E-8</v>
      </c>
      <c r="I3" s="7">
        <f>$B3 * IFERROR(VLOOKUP("LULUCF|NOx|Infant mortality", US_national_yearly!$D:$AM, 17, FALSE) / VLOOKUP("LULUCF|NOx|Infant mortality", US_national_yearly!$D:$AM, 10, FALSE), 1)</f>
        <v>6.3084929924021737E-8</v>
      </c>
      <c r="J3" s="7">
        <f>$B3 * IFERROR(VLOOKUP("LULUCF|NOx|Infant mortality", US_national_yearly!$D:$AM, 18, FALSE) / VLOOKUP("LULUCF|NOx|Infant mortality", US_national_yearly!$D:$AM, 10, FALSE), 1)</f>
        <v>6.2635682628399242E-8</v>
      </c>
      <c r="K3" s="7">
        <f>$B3 * IFERROR(VLOOKUP("LULUCF|NOx|Infant mortality", US_national_yearly!$D:$AM, 19, FALSE) / VLOOKUP("LULUCF|NOx|Infant mortality", US_national_yearly!$D:$AM, 10, FALSE), 1)</f>
        <v>6.2186435332776747E-8</v>
      </c>
      <c r="L3" s="7">
        <f>$B3 * IFERROR(VLOOKUP("LULUCF|NOx|Infant mortality", US_national_yearly!$D:$AM, 20, FALSE) / VLOOKUP("LULUCF|NOx|Infant mortality", US_national_yearly!$D:$AM, 10, FALSE), 1)</f>
        <v>6.1737188037154252E-8</v>
      </c>
      <c r="M3" s="7">
        <f>$B3 * IFERROR(VLOOKUP("LULUCF|NOx|Infant mortality", US_national_yearly!$D:$AM, 21, FALSE) / VLOOKUP("LULUCF|NOx|Infant mortality", US_national_yearly!$D:$AM, 10, FALSE), 1)</f>
        <v>6.1287940741531758E-8</v>
      </c>
      <c r="N3" s="7">
        <f>$B3 * IFERROR(VLOOKUP("LULUCF|NOx|Infant mortality", US_national_yearly!$D:$AM, 22, FALSE) / VLOOKUP("LULUCF|NOx|Infant mortality", US_national_yearly!$D:$AM, 10, FALSE), 1)</f>
        <v>6.0989749170843179E-8</v>
      </c>
      <c r="O3" s="7">
        <f>$B3 * IFERROR(VLOOKUP("LULUCF|NOx|Infant mortality", US_national_yearly!$D:$AM, 23, FALSE) / VLOOKUP("LULUCF|NOx|Infant mortality", US_national_yearly!$D:$AM, 10, FALSE), 1)</f>
        <v>6.0691557600154613E-8</v>
      </c>
      <c r="P3" s="7">
        <f>$B3 * IFERROR(VLOOKUP("LULUCF|NOx|Infant mortality", US_national_yearly!$D:$AM, 24, FALSE) / VLOOKUP("LULUCF|NOx|Infant mortality", US_national_yearly!$D:$AM, 10, FALSE), 1)</f>
        <v>6.0393366029466047E-8</v>
      </c>
      <c r="Q3" s="7">
        <f>$B3 * IFERROR(VLOOKUP("LULUCF|NOx|Infant mortality", US_national_yearly!$D:$AM, 25, FALSE) / VLOOKUP("LULUCF|NOx|Infant mortality", US_national_yearly!$D:$AM, 10, FALSE), 1)</f>
        <v>6.0095174458777468E-8</v>
      </c>
      <c r="R3" s="7">
        <f>$B3 * IFERROR(VLOOKUP("LULUCF|NOx|Infant mortality", US_national_yearly!$D:$AM, 26, FALSE) / VLOOKUP("LULUCF|NOx|Infant mortality", US_national_yearly!$D:$AM, 10, FALSE), 1)</f>
        <v>5.9796982888088902E-8</v>
      </c>
      <c r="S3" s="7">
        <f>$B3 * IFERROR(VLOOKUP("LULUCF|NOx|Infant mortality", US_national_yearly!$D:$AM, 27, FALSE) / VLOOKUP("LULUCF|NOx|Infant mortality", US_national_yearly!$D:$AM, 10, FALSE), 1)</f>
        <v>5.9438509200556861E-8</v>
      </c>
      <c r="T3" s="7">
        <f>$B3 * IFERROR(VLOOKUP("LULUCF|NOx|Infant mortality", US_national_yearly!$D:$AM, 28, FALSE) / VLOOKUP("LULUCF|NOx|Infant mortality", US_national_yearly!$D:$AM, 10, FALSE), 1)</f>
        <v>5.9080035513024819E-8</v>
      </c>
      <c r="U3" s="7">
        <f>$B3 * IFERROR(VLOOKUP("LULUCF|NOx|Infant mortality", US_national_yearly!$D:$AM, 29, FALSE) / VLOOKUP("LULUCF|NOx|Infant mortality", US_national_yearly!$D:$AM, 10, FALSE), 1)</f>
        <v>5.8721561825492784E-8</v>
      </c>
      <c r="V3" s="7">
        <f>$B3 * IFERROR(VLOOKUP("LULUCF|NOx|Infant mortality", US_national_yearly!$D:$AM, 30, FALSE) / VLOOKUP("LULUCF|NOx|Infant mortality", US_national_yearly!$D:$AM, 10, FALSE), 1)</f>
        <v>5.8363088137960742E-8</v>
      </c>
      <c r="W3" s="7">
        <f>$B3 * IFERROR(VLOOKUP("LULUCF|NOx|Infant mortality", US_national_yearly!$D:$AM, 31, FALSE) / VLOOKUP("LULUCF|NOx|Infant mortality", US_national_yearly!$D:$AM, 10, FALSE), 1)</f>
        <v>5.8004614450428701E-8</v>
      </c>
      <c r="X3" s="7">
        <f>$B3 * IFERROR(VLOOKUP("LULUCF|NOx|Infant mortality", US_national_yearly!$D:$AM, 32, FALSE) / VLOOKUP("LULUCF|NOx|Infant mortality", US_national_yearly!$D:$AM, 10, FALSE), 1)</f>
        <v>5.7624973480252272E-8</v>
      </c>
      <c r="Y3" s="7">
        <f>$B3 * IFERROR(VLOOKUP("LULUCF|NOx|Infant mortality", US_national_yearly!$D:$AM, 33, FALSE) / VLOOKUP("LULUCF|NOx|Infant mortality", US_national_yearly!$D:$AM, 10, FALSE), 1)</f>
        <v>5.724533251007583E-8</v>
      </c>
      <c r="Z3" s="7">
        <f>$B3 * IFERROR(VLOOKUP("LULUCF|NOx|Infant mortality", US_national_yearly!$D:$AM, 34, FALSE) / VLOOKUP("LULUCF|NOx|Infant mortality", US_national_yearly!$D:$AM, 10, FALSE), 1)</f>
        <v>5.6865691539899388E-8</v>
      </c>
      <c r="AA3" s="7">
        <f>$B3 * IFERROR(VLOOKUP("LULUCF|NOx|Infant mortality", US_national_yearly!$D:$AM, 35, FALSE) / VLOOKUP("LULUCF|NOx|Infant mortality", US_national_yearly!$D:$AM, 10, FALSE), 1)</f>
        <v>5.648605056972294E-8</v>
      </c>
      <c r="AB3" s="7">
        <f>$B3 * IFERROR(VLOOKUP("LULUCF|NOx|Infant mortality", US_national_yearly!$D:$AM, 36, FALSE) / VLOOKUP("LULUCF|NOx|Infant mortality", US_national_yearly!$D:$AM, 10, FALSE), 1)</f>
        <v>5.6106409599546498E-8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2.2116828422526514E-4</v>
      </c>
      <c r="C6" s="7">
        <f>$B6 * IFERROR(VLOOKUP("LULUCF|NOx|Asthma symptoms cough", US_national_yearly!$D:$AM, 11, FALSE) / VLOOKUP("LULUCF|NOx|Asthma symptoms cough", US_national_yearly!$D:$AM, 10, FALSE), 1)</f>
        <v>2.2419201626645559E-4</v>
      </c>
      <c r="D6" s="7">
        <f>$B6 * IFERROR(VLOOKUP("LULUCF|NOx|Asthma symptoms cough", US_national_yearly!$D:$AM, 12, FALSE) / VLOOKUP("LULUCF|NOx|Asthma symptoms cough", US_national_yearly!$D:$AM, 10, FALSE), 1)</f>
        <v>2.2721574830764603E-4</v>
      </c>
      <c r="E6" s="7">
        <f>$B6 * IFERROR(VLOOKUP("LULUCF|NOx|Asthma symptoms cough", US_national_yearly!$D:$AM, 13, FALSE) / VLOOKUP("LULUCF|NOx|Asthma symptoms cough", US_national_yearly!$D:$AM, 10, FALSE), 1)</f>
        <v>2.3023948034883647E-4</v>
      </c>
      <c r="F6" s="7">
        <f>$B6 * IFERROR(VLOOKUP("LULUCF|NOx|Asthma symptoms cough", US_national_yearly!$D:$AM, 14, FALSE) / VLOOKUP("LULUCF|NOx|Asthma symptoms cough", US_national_yearly!$D:$AM, 10, FALSE), 1)</f>
        <v>2.3326321239002692E-4</v>
      </c>
      <c r="G6" s="7">
        <f>$B6 * IFERROR(VLOOKUP("LULUCF|NOx|Asthma symptoms cough", US_national_yearly!$D:$AM, 15, FALSE) / VLOOKUP("LULUCF|NOx|Asthma symptoms cough", US_national_yearly!$D:$AM, 10, FALSE), 1)</f>
        <v>2.356772398869112E-4</v>
      </c>
      <c r="H6" s="7">
        <f>$B6 * IFERROR(VLOOKUP("LULUCF|NOx|Asthma symptoms cough", US_national_yearly!$D:$AM, 16, FALSE) / VLOOKUP("LULUCF|NOx|Asthma symptoms cough", US_national_yearly!$D:$AM, 10, FALSE), 1)</f>
        <v>2.3809126738379556E-4</v>
      </c>
      <c r="I6" s="7">
        <f>$B6 * IFERROR(VLOOKUP("LULUCF|NOx|Asthma symptoms cough", US_national_yearly!$D:$AM, 17, FALSE) / VLOOKUP("LULUCF|NOx|Asthma symptoms cough", US_national_yearly!$D:$AM, 10, FALSE), 1)</f>
        <v>2.3892214113788637E-4</v>
      </c>
      <c r="J6" s="7">
        <f>$B6 * IFERROR(VLOOKUP("LULUCF|NOx|Asthma symptoms cough", US_national_yearly!$D:$AM, 18, FALSE) / VLOOKUP("LULUCF|NOx|Asthma symptoms cough", US_national_yearly!$D:$AM, 10, FALSE), 1)</f>
        <v>2.3975301489197724E-4</v>
      </c>
      <c r="K6" s="7">
        <f>$B6 * IFERROR(VLOOKUP("LULUCF|NOx|Asthma symptoms cough", US_national_yearly!$D:$AM, 19, FALSE) / VLOOKUP("LULUCF|NOx|Asthma symptoms cough", US_national_yearly!$D:$AM, 10, FALSE), 1)</f>
        <v>2.4058388864606808E-4</v>
      </c>
      <c r="L6" s="7">
        <f>$B6 * IFERROR(VLOOKUP("LULUCF|NOx|Asthma symptoms cough", US_national_yearly!$D:$AM, 20, FALSE) / VLOOKUP("LULUCF|NOx|Asthma symptoms cough", US_national_yearly!$D:$AM, 10, FALSE), 1)</f>
        <v>2.4141476240015889E-4</v>
      </c>
      <c r="M6" s="7">
        <f>$B6 * IFERROR(VLOOKUP("LULUCF|NOx|Asthma symptoms cough", US_national_yearly!$D:$AM, 21, FALSE) / VLOOKUP("LULUCF|NOx|Asthma symptoms cough", US_national_yearly!$D:$AM, 10, FALSE), 1)</f>
        <v>2.4224563615424976E-4</v>
      </c>
      <c r="N6" s="7">
        <f>$B6 * IFERROR(VLOOKUP("LULUCF|NOx|Asthma symptoms cough", US_national_yearly!$D:$AM, 22, FALSE) / VLOOKUP("LULUCF|NOx|Asthma symptoms cough", US_national_yearly!$D:$AM, 10, FALSE), 1)</f>
        <v>2.4320909614501795E-4</v>
      </c>
      <c r="O6" s="7">
        <f>$B6 * IFERROR(VLOOKUP("LULUCF|NOx|Asthma symptoms cough", US_national_yearly!$D:$AM, 23, FALSE) / VLOOKUP("LULUCF|NOx|Asthma symptoms cough", US_national_yearly!$D:$AM, 10, FALSE), 1)</f>
        <v>2.4417255613578615E-4</v>
      </c>
      <c r="P6" s="7">
        <f>$B6 * IFERROR(VLOOKUP("LULUCF|NOx|Asthma symptoms cough", US_national_yearly!$D:$AM, 24, FALSE) / VLOOKUP("LULUCF|NOx|Asthma symptoms cough", US_national_yearly!$D:$AM, 10, FALSE), 1)</f>
        <v>2.4513601612655432E-4</v>
      </c>
      <c r="Q6" s="7">
        <f>$B6 * IFERROR(VLOOKUP("LULUCF|NOx|Asthma symptoms cough", US_national_yearly!$D:$AM, 25, FALSE) / VLOOKUP("LULUCF|NOx|Asthma symptoms cough", US_national_yearly!$D:$AM, 10, FALSE), 1)</f>
        <v>2.4609947611732255E-4</v>
      </c>
      <c r="R6" s="7">
        <f>$B6 * IFERROR(VLOOKUP("LULUCF|NOx|Asthma symptoms cough", US_national_yearly!$D:$AM, 26, FALSE) / VLOOKUP("LULUCF|NOx|Asthma symptoms cough", US_national_yearly!$D:$AM, 10, FALSE), 1)</f>
        <v>2.4706293610809077E-4</v>
      </c>
      <c r="S6" s="7">
        <f>$B6 * IFERROR(VLOOKUP("LULUCF|NOx|Asthma symptoms cough", US_national_yearly!$D:$AM, 27, FALSE) / VLOOKUP("LULUCF|NOx|Asthma symptoms cough", US_national_yearly!$D:$AM, 10, FALSE), 1)</f>
        <v>2.4832152171576724E-4</v>
      </c>
      <c r="T6" s="7">
        <f>$B6 * IFERROR(VLOOKUP("LULUCF|NOx|Asthma symptoms cough", US_national_yearly!$D:$AM, 28, FALSE) / VLOOKUP("LULUCF|NOx|Asthma symptoms cough", US_national_yearly!$D:$AM, 10, FALSE), 1)</f>
        <v>2.495801073234437E-4</v>
      </c>
      <c r="U6" s="7">
        <f>$B6 * IFERROR(VLOOKUP("LULUCF|NOx|Asthma symptoms cough", US_national_yearly!$D:$AM, 29, FALSE) / VLOOKUP("LULUCF|NOx|Asthma symptoms cough", US_national_yearly!$D:$AM, 10, FALSE), 1)</f>
        <v>2.5083869293112012E-4</v>
      </c>
      <c r="V6" s="7">
        <f>$B6 * IFERROR(VLOOKUP("LULUCF|NOx|Asthma symptoms cough", US_national_yearly!$D:$AM, 30, FALSE) / VLOOKUP("LULUCF|NOx|Asthma symptoms cough", US_national_yearly!$D:$AM, 10, FALSE), 1)</f>
        <v>2.5209727853879664E-4</v>
      </c>
      <c r="W6" s="7">
        <f>$B6 * IFERROR(VLOOKUP("LULUCF|NOx|Asthma symptoms cough", US_national_yearly!$D:$AM, 31, FALSE) / VLOOKUP("LULUCF|NOx|Asthma symptoms cough", US_national_yearly!$D:$AM, 10, FALSE), 1)</f>
        <v>2.533558641464731E-4</v>
      </c>
      <c r="X6" s="7">
        <f>$B6 * IFERROR(VLOOKUP("LULUCF|NOx|Asthma symptoms cough", US_national_yearly!$D:$AM, 32, FALSE) / VLOOKUP("LULUCF|NOx|Asthma symptoms cough", US_national_yearly!$D:$AM, 10, FALSE), 1)</f>
        <v>2.545252710165669E-4</v>
      </c>
      <c r="Y6" s="7">
        <f>$B6 * IFERROR(VLOOKUP("LULUCF|NOx|Asthma symptoms cough", US_national_yearly!$D:$AM, 33, FALSE) / VLOOKUP("LULUCF|NOx|Asthma symptoms cough", US_national_yearly!$D:$AM, 10, FALSE), 1)</f>
        <v>2.556946778866607E-4</v>
      </c>
      <c r="Z6" s="7">
        <f>$B6 * IFERROR(VLOOKUP("LULUCF|NOx|Asthma symptoms cough", US_national_yearly!$D:$AM, 34, FALSE) / VLOOKUP("LULUCF|NOx|Asthma symptoms cough", US_national_yearly!$D:$AM, 10, FALSE), 1)</f>
        <v>2.568640847567545E-4</v>
      </c>
      <c r="AA6" s="7">
        <f>$B6 * IFERROR(VLOOKUP("LULUCF|NOx|Asthma symptoms cough", US_national_yearly!$D:$AM, 35, FALSE) / VLOOKUP("LULUCF|NOx|Asthma symptoms cough", US_national_yearly!$D:$AM, 10, FALSE), 1)</f>
        <v>2.580334916268483E-4</v>
      </c>
      <c r="AB6" s="7">
        <f>$B6 * IFERROR(VLOOKUP("LULUCF|NOx|Asthma symptoms cough", US_national_yearly!$D:$AM, 36, FALSE) / VLOOKUP("LULUCF|NOx|Asthma symptoms cough", US_national_yearly!$D:$AM, 10, FALSE), 1)</f>
        <v>2.5920289849694215E-4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2.9783481149329896E-4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3.0190670030386829E-4</v>
      </c>
      <c r="D7" s="7">
        <f>$B7 * IFERROR(VLOOKUP("LULUCF|NOx|Asthma symptoms shortness of breath", US_national_yearly!$D:$AM, 12, FALSE) / VLOOKUP("LULUCF|NOx|Asthma symptoms shortness of breath", US_national_yearly!$D:$AM, 10, FALSE), 1)</f>
        <v>3.0597858911443756E-4</v>
      </c>
      <c r="E7" s="7">
        <f>$B7 * IFERROR(VLOOKUP("LULUCF|NOx|Asthma symptoms shortness of breath", US_national_yearly!$D:$AM, 13, FALSE) / VLOOKUP("LULUCF|NOx|Asthma symptoms shortness of breath", US_national_yearly!$D:$AM, 10, FALSE), 1)</f>
        <v>3.1005047792500694E-4</v>
      </c>
      <c r="F7" s="7">
        <f>$B7 * IFERROR(VLOOKUP("LULUCF|NOx|Asthma symptoms shortness of breath", US_national_yearly!$D:$AM, 14, FALSE) / VLOOKUP("LULUCF|NOx|Asthma symptoms shortness of breath", US_national_yearly!$D:$AM, 10, FALSE), 1)</f>
        <v>3.1412236673557627E-4</v>
      </c>
      <c r="G7" s="7">
        <f>$B7 * IFERROR(VLOOKUP("LULUCF|NOx|Asthma symptoms shortness of breath", US_national_yearly!$D:$AM, 15, FALSE) / VLOOKUP("LULUCF|NOx|Asthma symptoms shortness of breath", US_national_yearly!$D:$AM, 10, FALSE), 1)</f>
        <v>3.1737320093997232E-4</v>
      </c>
      <c r="H7" s="7">
        <f>$B7 * IFERROR(VLOOKUP("LULUCF|NOx|Asthma symptoms shortness of breath", US_national_yearly!$D:$AM, 16, FALSE) / VLOOKUP("LULUCF|NOx|Asthma symptoms shortness of breath", US_national_yearly!$D:$AM, 10, FALSE), 1)</f>
        <v>3.2062403514436836E-4</v>
      </c>
      <c r="I7" s="7">
        <f>$B7 * IFERROR(VLOOKUP("LULUCF|NOx|Asthma symptoms shortness of breath", US_national_yearly!$D:$AM, 17, FALSE) / VLOOKUP("LULUCF|NOx|Asthma symptoms shortness of breath", US_national_yearly!$D:$AM, 10, FALSE), 1)</f>
        <v>3.2174292579883334E-4</v>
      </c>
      <c r="J7" s="7">
        <f>$B7 * IFERROR(VLOOKUP("LULUCF|NOx|Asthma symptoms shortness of breath", US_national_yearly!$D:$AM, 18, FALSE) / VLOOKUP("LULUCF|NOx|Asthma symptoms shortness of breath", US_national_yearly!$D:$AM, 10, FALSE), 1)</f>
        <v>3.2286181645329833E-4</v>
      </c>
      <c r="K7" s="7">
        <f>$B7 * IFERROR(VLOOKUP("LULUCF|NOx|Asthma symptoms shortness of breath", US_national_yearly!$D:$AM, 19, FALSE) / VLOOKUP("LULUCF|NOx|Asthma symptoms shortness of breath", US_national_yearly!$D:$AM, 10, FALSE), 1)</f>
        <v>3.2398070710776337E-4</v>
      </c>
      <c r="L7" s="7">
        <f>$B7 * IFERROR(VLOOKUP("LULUCF|NOx|Asthma symptoms shortness of breath", US_national_yearly!$D:$AM, 20, FALSE) / VLOOKUP("LULUCF|NOx|Asthma symptoms shortness of breath", US_national_yearly!$D:$AM, 10, FALSE), 1)</f>
        <v>3.2509959776222836E-4</v>
      </c>
      <c r="M7" s="7">
        <f>$B7 * IFERROR(VLOOKUP("LULUCF|NOx|Asthma symptoms shortness of breath", US_national_yearly!$D:$AM, 21, FALSE) / VLOOKUP("LULUCF|NOx|Asthma symptoms shortness of breath", US_national_yearly!$D:$AM, 10, FALSE), 1)</f>
        <v>3.2621848841669335E-4</v>
      </c>
      <c r="N7" s="7">
        <f>$B7 * IFERROR(VLOOKUP("LULUCF|NOx|Asthma symptoms shortness of breath", US_national_yearly!$D:$AM, 22, FALSE) / VLOOKUP("LULUCF|NOx|Asthma symptoms shortness of breath", US_national_yearly!$D:$AM, 10, FALSE), 1)</f>
        <v>3.2751592545566957E-4</v>
      </c>
      <c r="O7" s="7">
        <f>$B7 * IFERROR(VLOOKUP("LULUCF|NOx|Asthma symptoms shortness of breath", US_national_yearly!$D:$AM, 23, FALSE) / VLOOKUP("LULUCF|NOx|Asthma symptoms shortness of breath", US_national_yearly!$D:$AM, 10, FALSE), 1)</f>
        <v>3.2881336249464575E-4</v>
      </c>
      <c r="P7" s="7">
        <f>$B7 * IFERROR(VLOOKUP("LULUCF|NOx|Asthma symptoms shortness of breath", US_national_yearly!$D:$AM, 24, FALSE) / VLOOKUP("LULUCF|NOx|Asthma symptoms shortness of breath", US_national_yearly!$D:$AM, 10, FALSE), 1)</f>
        <v>3.3011079953362187E-4</v>
      </c>
      <c r="Q7" s="7">
        <f>$B7 * IFERROR(VLOOKUP("LULUCF|NOx|Asthma symptoms shortness of breath", US_national_yearly!$D:$AM, 25, FALSE) / VLOOKUP("LULUCF|NOx|Asthma symptoms shortness of breath", US_national_yearly!$D:$AM, 10, FALSE), 1)</f>
        <v>3.314082365725981E-4</v>
      </c>
      <c r="R7" s="7">
        <f>$B7 * IFERROR(VLOOKUP("LULUCF|NOx|Asthma symptoms shortness of breath", US_national_yearly!$D:$AM, 26, FALSE) / VLOOKUP("LULUCF|NOx|Asthma symptoms shortness of breath", US_national_yearly!$D:$AM, 10, FALSE), 1)</f>
        <v>3.3270567361157427E-4</v>
      </c>
      <c r="S7" s="7">
        <f>$B7 * IFERROR(VLOOKUP("LULUCF|NOx|Asthma symptoms shortness of breath", US_national_yearly!$D:$AM, 27, FALSE) / VLOOKUP("LULUCF|NOx|Asthma symptoms shortness of breath", US_national_yearly!$D:$AM, 10, FALSE), 1)</f>
        <v>3.3440053961986176E-4</v>
      </c>
      <c r="T7" s="7">
        <f>$B7 * IFERROR(VLOOKUP("LULUCF|NOx|Asthma symptoms shortness of breath", US_national_yearly!$D:$AM, 28, FALSE) / VLOOKUP("LULUCF|NOx|Asthma symptoms shortness of breath", US_national_yearly!$D:$AM, 10, FALSE), 1)</f>
        <v>3.360954056281493E-4</v>
      </c>
      <c r="U7" s="7">
        <f>$B7 * IFERROR(VLOOKUP("LULUCF|NOx|Asthma symptoms shortness of breath", US_national_yearly!$D:$AM, 29, FALSE) / VLOOKUP("LULUCF|NOx|Asthma symptoms shortness of breath", US_national_yearly!$D:$AM, 10, FALSE), 1)</f>
        <v>3.3779027163643674E-4</v>
      </c>
      <c r="V7" s="7">
        <f>$B7 * IFERROR(VLOOKUP("LULUCF|NOx|Asthma symptoms shortness of breath", US_national_yearly!$D:$AM, 30, FALSE) / VLOOKUP("LULUCF|NOx|Asthma symptoms shortness of breath", US_national_yearly!$D:$AM, 10, FALSE), 1)</f>
        <v>3.3948513764472417E-4</v>
      </c>
      <c r="W7" s="7">
        <f>$B7 * IFERROR(VLOOKUP("LULUCF|NOx|Asthma symptoms shortness of breath", US_national_yearly!$D:$AM, 31, FALSE) / VLOOKUP("LULUCF|NOx|Asthma symptoms shortness of breath", US_national_yearly!$D:$AM, 10, FALSE), 1)</f>
        <v>3.4118000365301161E-4</v>
      </c>
      <c r="X7" s="7">
        <f>$B7 * IFERROR(VLOOKUP("LULUCF|NOx|Asthma symptoms shortness of breath", US_national_yearly!$D:$AM, 32, FALSE) / VLOOKUP("LULUCF|NOx|Asthma symptoms shortness of breath", US_national_yearly!$D:$AM, 10, FALSE), 1)</f>
        <v>3.4275477770142373E-4</v>
      </c>
      <c r="Y7" s="7">
        <f>$B7 * IFERROR(VLOOKUP("LULUCF|NOx|Asthma symptoms shortness of breath", US_national_yearly!$D:$AM, 33, FALSE) / VLOOKUP("LULUCF|NOx|Asthma symptoms shortness of breath", US_national_yearly!$D:$AM, 10, FALSE), 1)</f>
        <v>3.443295517498358E-4</v>
      </c>
      <c r="Z7" s="7">
        <f>$B7 * IFERROR(VLOOKUP("LULUCF|NOx|Asthma symptoms shortness of breath", US_national_yearly!$D:$AM, 34, FALSE) / VLOOKUP("LULUCF|NOx|Asthma symptoms shortness of breath", US_national_yearly!$D:$AM, 10, FALSE), 1)</f>
        <v>3.4590432579824793E-4</v>
      </c>
      <c r="AA7" s="7">
        <f>$B7 * IFERROR(VLOOKUP("LULUCF|NOx|Asthma symptoms shortness of breath", US_national_yearly!$D:$AM, 35, FALSE) / VLOOKUP("LULUCF|NOx|Asthma symptoms shortness of breath", US_national_yearly!$D:$AM, 10, FALSE), 1)</f>
        <v>3.4747909984666006E-4</v>
      </c>
      <c r="AB7" s="7">
        <f>$B7 * IFERROR(VLOOKUP("LULUCF|NOx|Asthma symptoms shortness of breath", US_national_yearly!$D:$AM, 36, FALSE) / VLOOKUP("LULUCF|NOx|Asthma symptoms shortness of breath", US_national_yearly!$D:$AM, 10, FALSE), 1)</f>
        <v>3.4905387389507213E-4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4.5504245721039846E-4</v>
      </c>
      <c r="C8" s="7">
        <f>$B8 * IFERROR(VLOOKUP("LULUCF|NOx|Asthma symptoms wheeze", US_national_yearly!$D:$AM, 11, FALSE) / VLOOKUP("LULUCF|NOx|Asthma symptoms wheeze", US_national_yearly!$D:$AM, 10, FALSE), 1)</f>
        <v>4.6126363157401125E-4</v>
      </c>
      <c r="D8" s="7">
        <f>$B8 * IFERROR(VLOOKUP("LULUCF|NOx|Asthma symptoms wheeze", US_national_yearly!$D:$AM, 12, FALSE) / VLOOKUP("LULUCF|NOx|Asthma symptoms wheeze", US_national_yearly!$D:$AM, 10, FALSE), 1)</f>
        <v>4.674848059376242E-4</v>
      </c>
      <c r="E8" s="7">
        <f>$B8 * IFERROR(VLOOKUP("LULUCF|NOx|Asthma symptoms wheeze", US_national_yearly!$D:$AM, 13, FALSE) / VLOOKUP("LULUCF|NOx|Asthma symptoms wheeze", US_national_yearly!$D:$AM, 10, FALSE), 1)</f>
        <v>4.7370598030123699E-4</v>
      </c>
      <c r="F8" s="7">
        <f>$B8 * IFERROR(VLOOKUP("LULUCF|NOx|Asthma symptoms wheeze", US_national_yearly!$D:$AM, 14, FALSE) / VLOOKUP("LULUCF|NOx|Asthma symptoms wheeze", US_national_yearly!$D:$AM, 10, FALSE), 1)</f>
        <v>4.7992715466484978E-4</v>
      </c>
      <c r="G8" s="7">
        <f>$B8 * IFERROR(VLOOKUP("LULUCF|NOx|Asthma symptoms wheeze", US_national_yearly!$D:$AM, 15, FALSE) / VLOOKUP("LULUCF|NOx|Asthma symptoms wheeze", US_national_yearly!$D:$AM, 10, FALSE), 1)</f>
        <v>4.8489389304751037E-4</v>
      </c>
      <c r="H8" s="7">
        <f>$B8 * IFERROR(VLOOKUP("LULUCF|NOx|Asthma symptoms wheeze", US_national_yearly!$D:$AM, 16, FALSE) / VLOOKUP("LULUCF|NOx|Asthma symptoms wheeze", US_national_yearly!$D:$AM, 10, FALSE), 1)</f>
        <v>4.8986063143017101E-4</v>
      </c>
      <c r="I8" s="7">
        <f>$B8 * IFERROR(VLOOKUP("LULUCF|NOx|Asthma symptoms wheeze", US_national_yearly!$D:$AM, 17, FALSE) / VLOOKUP("LULUCF|NOx|Asthma symptoms wheeze", US_national_yearly!$D:$AM, 10, FALSE), 1)</f>
        <v>4.9157011178453962E-4</v>
      </c>
      <c r="J8" s="7">
        <f>$B8 * IFERROR(VLOOKUP("LULUCF|NOx|Asthma symptoms wheeze", US_national_yearly!$D:$AM, 18, FALSE) / VLOOKUP("LULUCF|NOx|Asthma symptoms wheeze", US_national_yearly!$D:$AM, 10, FALSE), 1)</f>
        <v>4.9327959213890833E-4</v>
      </c>
      <c r="K8" s="7">
        <f>$B8 * IFERROR(VLOOKUP("LULUCF|NOx|Asthma symptoms wheeze", US_national_yearly!$D:$AM, 19, FALSE) / VLOOKUP("LULUCF|NOx|Asthma symptoms wheeze", US_national_yearly!$D:$AM, 10, FALSE), 1)</f>
        <v>4.9498907249327683E-4</v>
      </c>
      <c r="L8" s="7">
        <f>$B8 * IFERROR(VLOOKUP("LULUCF|NOx|Asthma symptoms wheeze", US_national_yearly!$D:$AM, 20, FALSE) / VLOOKUP("LULUCF|NOx|Asthma symptoms wheeze", US_national_yearly!$D:$AM, 10, FALSE), 1)</f>
        <v>4.9669855284764565E-4</v>
      </c>
      <c r="M8" s="7">
        <f>$B8 * IFERROR(VLOOKUP("LULUCF|NOx|Asthma symptoms wheeze", US_national_yearly!$D:$AM, 21, FALSE) / VLOOKUP("LULUCF|NOx|Asthma symptoms wheeze", US_national_yearly!$D:$AM, 10, FALSE), 1)</f>
        <v>4.9840803320201426E-4</v>
      </c>
      <c r="N8" s="7">
        <f>$B8 * IFERROR(VLOOKUP("LULUCF|NOx|Asthma symptoms wheeze", US_national_yearly!$D:$AM, 22, FALSE) / VLOOKUP("LULUCF|NOx|Asthma symptoms wheeze", US_national_yearly!$D:$AM, 10, FALSE), 1)</f>
        <v>5.0039030297403006E-4</v>
      </c>
      <c r="O8" s="7">
        <f>$B8 * IFERROR(VLOOKUP("LULUCF|NOx|Asthma symptoms wheeze", US_national_yearly!$D:$AM, 23, FALSE) / VLOOKUP("LULUCF|NOx|Asthma symptoms wheeze", US_national_yearly!$D:$AM, 10, FALSE), 1)</f>
        <v>5.0237257274604596E-4</v>
      </c>
      <c r="P8" s="7">
        <f>$B8 * IFERROR(VLOOKUP("LULUCF|NOx|Asthma symptoms wheeze", US_national_yearly!$D:$AM, 24, FALSE) / VLOOKUP("LULUCF|NOx|Asthma symptoms wheeze", US_national_yearly!$D:$AM, 10, FALSE), 1)</f>
        <v>5.0435484251806176E-4</v>
      </c>
      <c r="Q8" s="7">
        <f>$B8 * IFERROR(VLOOKUP("LULUCF|NOx|Asthma symptoms wheeze", US_national_yearly!$D:$AM, 25, FALSE) / VLOOKUP("LULUCF|NOx|Asthma symptoms wheeze", US_national_yearly!$D:$AM, 10, FALSE), 1)</f>
        <v>5.0633711229007767E-4</v>
      </c>
      <c r="R8" s="7">
        <f>$B8 * IFERROR(VLOOKUP("LULUCF|NOx|Asthma symptoms wheeze", US_national_yearly!$D:$AM, 26, FALSE) / VLOOKUP("LULUCF|NOx|Asthma symptoms wheeze", US_national_yearly!$D:$AM, 10, FALSE), 1)</f>
        <v>5.0831938206209347E-4</v>
      </c>
      <c r="S8" s="7">
        <f>$B8 * IFERROR(VLOOKUP("LULUCF|NOx|Asthma symptoms wheeze", US_national_yearly!$D:$AM, 27, FALSE) / VLOOKUP("LULUCF|NOx|Asthma symptoms wheeze", US_national_yearly!$D:$AM, 10, FALSE), 1)</f>
        <v>5.1090885773105634E-4</v>
      </c>
      <c r="T8" s="7">
        <f>$B8 * IFERROR(VLOOKUP("LULUCF|NOx|Asthma symptoms wheeze", US_national_yearly!$D:$AM, 28, FALSE) / VLOOKUP("LULUCF|NOx|Asthma symptoms wheeze", US_national_yearly!$D:$AM, 10, FALSE), 1)</f>
        <v>5.1349833340001911E-4</v>
      </c>
      <c r="U8" s="7">
        <f>$B8 * IFERROR(VLOOKUP("LULUCF|NOx|Asthma symptoms wheeze", US_national_yearly!$D:$AM, 29, FALSE) / VLOOKUP("LULUCF|NOx|Asthma symptoms wheeze", US_national_yearly!$D:$AM, 10, FALSE), 1)</f>
        <v>5.1608780906898198E-4</v>
      </c>
      <c r="V8" s="7">
        <f>$B8 * IFERROR(VLOOKUP("LULUCF|NOx|Asthma symptoms wheeze", US_national_yearly!$D:$AM, 30, FALSE) / VLOOKUP("LULUCF|NOx|Asthma symptoms wheeze", US_national_yearly!$D:$AM, 10, FALSE), 1)</f>
        <v>5.1867728473794497E-4</v>
      </c>
      <c r="W8" s="7">
        <f>$B8 * IFERROR(VLOOKUP("LULUCF|NOx|Asthma symptoms wheeze", US_national_yearly!$D:$AM, 31, FALSE) / VLOOKUP("LULUCF|NOx|Asthma symptoms wheeze", US_national_yearly!$D:$AM, 10, FALSE), 1)</f>
        <v>5.2126676040690763E-4</v>
      </c>
      <c r="X8" s="7">
        <f>$B8 * IFERROR(VLOOKUP("LULUCF|NOx|Asthma symptoms wheeze", US_national_yearly!$D:$AM, 32, FALSE) / VLOOKUP("LULUCF|NOx|Asthma symptoms wheeze", US_national_yearly!$D:$AM, 10, FALSE), 1)</f>
        <v>5.2367275537278644E-4</v>
      </c>
      <c r="Y8" s="7">
        <f>$B8 * IFERROR(VLOOKUP("LULUCF|NOx|Asthma symptoms wheeze", US_national_yearly!$D:$AM, 33, FALSE) / VLOOKUP("LULUCF|NOx|Asthma symptoms wheeze", US_national_yearly!$D:$AM, 10, FALSE), 1)</f>
        <v>5.2607875033866503E-4</v>
      </c>
      <c r="Z8" s="7">
        <f>$B8 * IFERROR(VLOOKUP("LULUCF|NOx|Asthma symptoms wheeze", US_national_yearly!$D:$AM, 34, FALSE) / VLOOKUP("LULUCF|NOx|Asthma symptoms wheeze", US_national_yearly!$D:$AM, 10, FALSE), 1)</f>
        <v>5.2848474530454385E-4</v>
      </c>
      <c r="AA8" s="7">
        <f>$B8 * IFERROR(VLOOKUP("LULUCF|NOx|Asthma symptoms wheeze", US_national_yearly!$D:$AM, 35, FALSE) / VLOOKUP("LULUCF|NOx|Asthma symptoms wheeze", US_national_yearly!$D:$AM, 10, FALSE), 1)</f>
        <v>5.3089074027042255E-4</v>
      </c>
      <c r="AB8" s="7">
        <f>$B8 * IFERROR(VLOOKUP("LULUCF|NOx|Asthma symptoms wheeze", US_national_yearly!$D:$AM, 36, FALSE) / VLOOKUP("LULUCF|NOx|Asthma symptoms wheeze", US_national_yearly!$D:$AM, 10, FALSE), 1)</f>
        <v>5.3329673523630126E-4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4.3317817250383226E-6</v>
      </c>
      <c r="C12" s="7">
        <f>$B12 * IFERROR(VLOOKUP("LULUCF|NOx|Respiratory hospital admissions", US_national_yearly!$D:$AM, 11, FALSE) / VLOOKUP("LULUCF|NOx|Respiratory hospital admissions", US_national_yearly!$D:$AM, 10, FALSE), 1)</f>
        <v>4.4398365677342205E-6</v>
      </c>
      <c r="D12" s="7">
        <f>$B12 * IFERROR(VLOOKUP("LULUCF|NOx|Respiratory hospital admissions", US_national_yearly!$D:$AM, 12, FALSE) / VLOOKUP("LULUCF|NOx|Respiratory hospital admissions", US_national_yearly!$D:$AM, 10, FALSE), 1)</f>
        <v>4.54789141043012E-6</v>
      </c>
      <c r="E12" s="7">
        <f>$B12 * IFERROR(VLOOKUP("LULUCF|NOx|Respiratory hospital admissions", US_national_yearly!$D:$AM, 13, FALSE) / VLOOKUP("LULUCF|NOx|Respiratory hospital admissions", US_national_yearly!$D:$AM, 10, FALSE), 1)</f>
        <v>4.6559462531260187E-6</v>
      </c>
      <c r="F12" s="7">
        <f>$B12 * IFERROR(VLOOKUP("LULUCF|NOx|Respiratory hospital admissions", US_national_yearly!$D:$AM, 14, FALSE) / VLOOKUP("LULUCF|NOx|Respiratory hospital admissions", US_national_yearly!$D:$AM, 10, FALSE), 1)</f>
        <v>4.7640010958219183E-6</v>
      </c>
      <c r="G12" s="7">
        <f>$B12 * IFERROR(VLOOKUP("LULUCF|NOx|Respiratory hospital admissions", US_national_yearly!$D:$AM, 15, FALSE) / VLOOKUP("LULUCF|NOx|Respiratory hospital admissions", US_national_yearly!$D:$AM, 10, FALSE), 1)</f>
        <v>4.867305203188261E-6</v>
      </c>
      <c r="H12" s="7">
        <f>$B12 * IFERROR(VLOOKUP("LULUCF|NOx|Respiratory hospital admissions", US_national_yearly!$D:$AM, 16, FALSE) / VLOOKUP("LULUCF|NOx|Respiratory hospital admissions", US_national_yearly!$D:$AM, 10, FALSE), 1)</f>
        <v>4.9706093105546037E-6</v>
      </c>
      <c r="I12" s="7">
        <f>$B12 * IFERROR(VLOOKUP("LULUCF|NOx|Respiratory hospital admissions", US_national_yearly!$D:$AM, 17, FALSE) / VLOOKUP("LULUCF|NOx|Respiratory hospital admissions", US_national_yearly!$D:$AM, 10, FALSE), 1)</f>
        <v>5.0583166214261537E-6</v>
      </c>
      <c r="J12" s="7">
        <f>$B12 * IFERROR(VLOOKUP("LULUCF|NOx|Respiratory hospital admissions", US_national_yearly!$D:$AM, 18, FALSE) / VLOOKUP("LULUCF|NOx|Respiratory hospital admissions", US_national_yearly!$D:$AM, 10, FALSE), 1)</f>
        <v>5.1460239322977036E-6</v>
      </c>
      <c r="K12" s="7">
        <f>$B12 * IFERROR(VLOOKUP("LULUCF|NOx|Respiratory hospital admissions", US_national_yearly!$D:$AM, 19, FALSE) / VLOOKUP("LULUCF|NOx|Respiratory hospital admissions", US_national_yearly!$D:$AM, 10, FALSE), 1)</f>
        <v>5.2337312431692536E-6</v>
      </c>
      <c r="L12" s="7">
        <f>$B12 * IFERROR(VLOOKUP("LULUCF|NOx|Respiratory hospital admissions", US_national_yearly!$D:$AM, 20, FALSE) / VLOOKUP("LULUCF|NOx|Respiratory hospital admissions", US_national_yearly!$D:$AM, 10, FALSE), 1)</f>
        <v>5.3214385540408044E-6</v>
      </c>
      <c r="M12" s="7">
        <f>$B12 * IFERROR(VLOOKUP("LULUCF|NOx|Respiratory hospital admissions", US_national_yearly!$D:$AM, 21, FALSE) / VLOOKUP("LULUCF|NOx|Respiratory hospital admissions", US_national_yearly!$D:$AM, 10, FALSE), 1)</f>
        <v>5.4091458649123552E-6</v>
      </c>
      <c r="N12" s="7">
        <f>$B12 * IFERROR(VLOOKUP("LULUCF|NOx|Respiratory hospital admissions", US_national_yearly!$D:$AM, 22, FALSE) / VLOOKUP("LULUCF|NOx|Respiratory hospital admissions", US_national_yearly!$D:$AM, 10, FALSE), 1)</f>
        <v>5.4677797813614703E-6</v>
      </c>
      <c r="O12" s="7">
        <f>$B12 * IFERROR(VLOOKUP("LULUCF|NOx|Respiratory hospital admissions", US_national_yearly!$D:$AM, 23, FALSE) / VLOOKUP("LULUCF|NOx|Respiratory hospital admissions", US_national_yearly!$D:$AM, 10, FALSE), 1)</f>
        <v>5.5264136978105878E-6</v>
      </c>
      <c r="P12" s="7">
        <f>$B12 * IFERROR(VLOOKUP("LULUCF|NOx|Respiratory hospital admissions", US_national_yearly!$D:$AM, 24, FALSE) / VLOOKUP("LULUCF|NOx|Respiratory hospital admissions", US_national_yearly!$D:$AM, 10, FALSE), 1)</f>
        <v>5.5850476142597037E-6</v>
      </c>
      <c r="Q12" s="7">
        <f>$B12 * IFERROR(VLOOKUP("LULUCF|NOx|Respiratory hospital admissions", US_national_yearly!$D:$AM, 25, FALSE) / VLOOKUP("LULUCF|NOx|Respiratory hospital admissions", US_national_yearly!$D:$AM, 10, FALSE), 1)</f>
        <v>5.6436815307088204E-6</v>
      </c>
      <c r="R12" s="7">
        <f>$B12 * IFERROR(VLOOKUP("LULUCF|NOx|Respiratory hospital admissions", US_national_yearly!$D:$AM, 26, FALSE) / VLOOKUP("LULUCF|NOx|Respiratory hospital admissions", US_national_yearly!$D:$AM, 10, FALSE), 1)</f>
        <v>5.7023154471579372E-6</v>
      </c>
      <c r="S12" s="7">
        <f>$B12 * IFERROR(VLOOKUP("LULUCF|NOx|Respiratory hospital admissions", US_national_yearly!$D:$AM, 27, FALSE) / VLOOKUP("LULUCF|NOx|Respiratory hospital admissions", US_national_yearly!$D:$AM, 10, FALSE), 1)</f>
        <v>5.7337299107962729E-6</v>
      </c>
      <c r="T12" s="7">
        <f>$B12 * IFERROR(VLOOKUP("LULUCF|NOx|Respiratory hospital admissions", US_national_yearly!$D:$AM, 28, FALSE) / VLOOKUP("LULUCF|NOx|Respiratory hospital admissions", US_national_yearly!$D:$AM, 10, FALSE), 1)</f>
        <v>5.7651443744346095E-6</v>
      </c>
      <c r="U12" s="7">
        <f>$B12 * IFERROR(VLOOKUP("LULUCF|NOx|Respiratory hospital admissions", US_national_yearly!$D:$AM, 29, FALSE) / VLOOKUP("LULUCF|NOx|Respiratory hospital admissions", US_national_yearly!$D:$AM, 10, FALSE), 1)</f>
        <v>5.7965588380729453E-6</v>
      </c>
      <c r="V12" s="7">
        <f>$B12 * IFERROR(VLOOKUP("LULUCF|NOx|Respiratory hospital admissions", US_national_yearly!$D:$AM, 30, FALSE) / VLOOKUP("LULUCF|NOx|Respiratory hospital admissions", US_national_yearly!$D:$AM, 10, FALSE), 1)</f>
        <v>5.8279733017112811E-6</v>
      </c>
      <c r="W12" s="7">
        <f>$B12 * IFERROR(VLOOKUP("LULUCF|NOx|Respiratory hospital admissions", US_national_yearly!$D:$AM, 31, FALSE) / VLOOKUP("LULUCF|NOx|Respiratory hospital admissions", US_national_yearly!$D:$AM, 10, FALSE), 1)</f>
        <v>5.8593877653496177E-6</v>
      </c>
      <c r="X12" s="7">
        <f>$B12 * IFERROR(VLOOKUP("LULUCF|NOx|Respiratory hospital admissions", US_national_yearly!$D:$AM, 32, FALSE) / VLOOKUP("LULUCF|NOx|Respiratory hospital admissions", US_national_yearly!$D:$AM, 10, FALSE), 1)</f>
        <v>5.8808554699897275E-6</v>
      </c>
      <c r="Y12" s="7">
        <f>$B12 * IFERROR(VLOOKUP("LULUCF|NOx|Respiratory hospital admissions", US_national_yearly!$D:$AM, 33, FALSE) / VLOOKUP("LULUCF|NOx|Respiratory hospital admissions", US_national_yearly!$D:$AM, 10, FALSE), 1)</f>
        <v>5.9023231746298374E-6</v>
      </c>
      <c r="Z12" s="7">
        <f>$B12 * IFERROR(VLOOKUP("LULUCF|NOx|Respiratory hospital admissions", US_national_yearly!$D:$AM, 34, FALSE) / VLOOKUP("LULUCF|NOx|Respiratory hospital admissions", US_national_yearly!$D:$AM, 10, FALSE), 1)</f>
        <v>5.9237908792699481E-6</v>
      </c>
      <c r="AA12" s="7">
        <f>$B12 * IFERROR(VLOOKUP("LULUCF|NOx|Respiratory hospital admissions", US_national_yearly!$D:$AM, 35, FALSE) / VLOOKUP("LULUCF|NOx|Respiratory hospital admissions", US_national_yearly!$D:$AM, 10, FALSE), 1)</f>
        <v>5.945258583910058E-6</v>
      </c>
      <c r="AB12" s="7">
        <f>$B12 * IFERROR(VLOOKUP("LULUCF|NOx|Respiratory hospital admissions", US_national_yearly!$D:$AM, 36, FALSE) / VLOOKUP("LULUCF|NOx|Respiratory hospital admissions", US_national_yearly!$D:$AM, 10, FALSE), 1)</f>
        <v>5.966726288550167E-6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6.4799945188299437E-6</v>
      </c>
      <c r="C13" s="7">
        <f>$B13 * IFERROR(VLOOKUP("LULUCF|NOx|Non-fatal heart attacks", US_national_yearly!$D:$AM, 11, FALSE) / VLOOKUP("LULUCF|NOx|Non-fatal heart attacks", US_national_yearly!$D:$AM, 10, FALSE), 1)</f>
        <v>6.6652518528838583E-6</v>
      </c>
      <c r="D13" s="7">
        <f>$B13 * IFERROR(VLOOKUP("LULUCF|NOx|Non-fatal heart attacks", US_national_yearly!$D:$AM, 12, FALSE) / VLOOKUP("LULUCF|NOx|Non-fatal heart attacks", US_national_yearly!$D:$AM, 10, FALSE), 1)</f>
        <v>6.8505091869377722E-6</v>
      </c>
      <c r="E13" s="7">
        <f>$B13 * IFERROR(VLOOKUP("LULUCF|NOx|Non-fatal heart attacks", US_national_yearly!$D:$AM, 13, FALSE) / VLOOKUP("LULUCF|NOx|Non-fatal heart attacks", US_national_yearly!$D:$AM, 10, FALSE), 1)</f>
        <v>7.0357665209916851E-6</v>
      </c>
      <c r="F13" s="7">
        <f>$B13 * IFERROR(VLOOKUP("LULUCF|NOx|Non-fatal heart attacks", US_national_yearly!$D:$AM, 14, FALSE) / VLOOKUP("LULUCF|NOx|Non-fatal heart attacks", US_national_yearly!$D:$AM, 10, FALSE), 1)</f>
        <v>7.2210238550455998E-6</v>
      </c>
      <c r="G13" s="7">
        <f>$B13 * IFERROR(VLOOKUP("LULUCF|NOx|Non-fatal heart attacks", US_national_yearly!$D:$AM, 15, FALSE) / VLOOKUP("LULUCF|NOx|Non-fatal heart attacks", US_national_yearly!$D:$AM, 10, FALSE), 1)</f>
        <v>7.3941464486899363E-6</v>
      </c>
      <c r="H13" s="7">
        <f>$B13 * IFERROR(VLOOKUP("LULUCF|NOx|Non-fatal heart attacks", US_national_yearly!$D:$AM, 16, FALSE) / VLOOKUP("LULUCF|NOx|Non-fatal heart attacks", US_national_yearly!$D:$AM, 10, FALSE), 1)</f>
        <v>7.5672690423342728E-6</v>
      </c>
      <c r="I13" s="7">
        <f>$B13 * IFERROR(VLOOKUP("LULUCF|NOx|Non-fatal heart attacks", US_national_yearly!$D:$AM, 17, FALSE) / VLOOKUP("LULUCF|NOx|Non-fatal heart attacks", US_national_yearly!$D:$AM, 10, FALSE), 1)</f>
        <v>7.7037564176208214E-6</v>
      </c>
      <c r="J13" s="7">
        <f>$B13 * IFERROR(VLOOKUP("LULUCF|NOx|Non-fatal heart attacks", US_national_yearly!$D:$AM, 18, FALSE) / VLOOKUP("LULUCF|NOx|Non-fatal heart attacks", US_national_yearly!$D:$AM, 10, FALSE), 1)</f>
        <v>7.8402437929073734E-6</v>
      </c>
      <c r="K13" s="7">
        <f>$B13 * IFERROR(VLOOKUP("LULUCF|NOx|Non-fatal heart attacks", US_national_yearly!$D:$AM, 19, FALSE) / VLOOKUP("LULUCF|NOx|Non-fatal heart attacks", US_national_yearly!$D:$AM, 10, FALSE), 1)</f>
        <v>7.976731168193917E-6</v>
      </c>
      <c r="L13" s="7">
        <f>$B13 * IFERROR(VLOOKUP("LULUCF|NOx|Non-fatal heart attacks", US_national_yearly!$D:$AM, 20, FALSE) / VLOOKUP("LULUCF|NOx|Non-fatal heart attacks", US_national_yearly!$D:$AM, 10, FALSE), 1)</f>
        <v>8.1132185434804724E-6</v>
      </c>
      <c r="M13" s="7">
        <f>$B13 * IFERROR(VLOOKUP("LULUCF|NOx|Non-fatal heart attacks", US_national_yearly!$D:$AM, 21, FALSE) / VLOOKUP("LULUCF|NOx|Non-fatal heart attacks", US_national_yearly!$D:$AM, 10, FALSE), 1)</f>
        <v>8.2497059187670193E-6</v>
      </c>
      <c r="N13" s="7">
        <f>$B13 * IFERROR(VLOOKUP("LULUCF|NOx|Non-fatal heart attacks", US_national_yearly!$D:$AM, 22, FALSE) / VLOOKUP("LULUCF|NOx|Non-fatal heart attacks", US_national_yearly!$D:$AM, 10, FALSE), 1)</f>
        <v>8.3318208629344053E-6</v>
      </c>
      <c r="O13" s="7">
        <f>$B13 * IFERROR(VLOOKUP("LULUCF|NOx|Non-fatal heart attacks", US_national_yearly!$D:$AM, 23, FALSE) / VLOOKUP("LULUCF|NOx|Non-fatal heart attacks", US_national_yearly!$D:$AM, 10, FALSE), 1)</f>
        <v>8.4139358071017896E-6</v>
      </c>
      <c r="P13" s="7">
        <f>$B13 * IFERROR(VLOOKUP("LULUCF|NOx|Non-fatal heart attacks", US_national_yearly!$D:$AM, 24, FALSE) / VLOOKUP("LULUCF|NOx|Non-fatal heart attacks", US_national_yearly!$D:$AM, 10, FALSE), 1)</f>
        <v>8.496050751269174E-6</v>
      </c>
      <c r="Q13" s="7">
        <f>$B13 * IFERROR(VLOOKUP("LULUCF|NOx|Non-fatal heart attacks", US_national_yearly!$D:$AM, 25, FALSE) / VLOOKUP("LULUCF|NOx|Non-fatal heart attacks", US_national_yearly!$D:$AM, 10, FALSE), 1)</f>
        <v>8.57816569543656E-6</v>
      </c>
      <c r="R13" s="7">
        <f>$B13 * IFERROR(VLOOKUP("LULUCF|NOx|Non-fatal heart attacks", US_national_yearly!$D:$AM, 26, FALSE) / VLOOKUP("LULUCF|NOx|Non-fatal heart attacks", US_national_yearly!$D:$AM, 10, FALSE), 1)</f>
        <v>8.6602806396039443E-6</v>
      </c>
      <c r="S13" s="7">
        <f>$B13 * IFERROR(VLOOKUP("LULUCF|NOx|Non-fatal heart attacks", US_national_yearly!$D:$AM, 27, FALSE) / VLOOKUP("LULUCF|NOx|Non-fatal heart attacks", US_national_yearly!$D:$AM, 10, FALSE), 1)</f>
        <v>8.6975285462157716E-6</v>
      </c>
      <c r="T13" s="7">
        <f>$B13 * IFERROR(VLOOKUP("LULUCF|NOx|Non-fatal heart attacks", US_national_yearly!$D:$AM, 28, FALSE) / VLOOKUP("LULUCF|NOx|Non-fatal heart attacks", US_national_yearly!$D:$AM, 10, FALSE), 1)</f>
        <v>8.734776452827599E-6</v>
      </c>
      <c r="U13" s="7">
        <f>$B13 * IFERROR(VLOOKUP("LULUCF|NOx|Non-fatal heart attacks", US_national_yearly!$D:$AM, 29, FALSE) / VLOOKUP("LULUCF|NOx|Non-fatal heart attacks", US_national_yearly!$D:$AM, 10, FALSE), 1)</f>
        <v>8.7720243594394263E-6</v>
      </c>
      <c r="V13" s="7">
        <f>$B13 * IFERROR(VLOOKUP("LULUCF|NOx|Non-fatal heart attacks", US_national_yearly!$D:$AM, 30, FALSE) / VLOOKUP("LULUCF|NOx|Non-fatal heart attacks", US_national_yearly!$D:$AM, 10, FALSE), 1)</f>
        <v>8.8092722660512553E-6</v>
      </c>
      <c r="W13" s="7">
        <f>$B13 * IFERROR(VLOOKUP("LULUCF|NOx|Non-fatal heart attacks", US_national_yearly!$D:$AM, 31, FALSE) / VLOOKUP("LULUCF|NOx|Non-fatal heart attacks", US_national_yearly!$D:$AM, 10, FALSE), 1)</f>
        <v>8.8465201726630826E-6</v>
      </c>
      <c r="X13" s="7">
        <f>$B13 * IFERROR(VLOOKUP("LULUCF|NOx|Non-fatal heart attacks", US_national_yearly!$D:$AM, 32, FALSE) / VLOOKUP("LULUCF|NOx|Non-fatal heart attacks", US_national_yearly!$D:$AM, 10, FALSE), 1)</f>
        <v>8.8714111837792965E-6</v>
      </c>
      <c r="Y13" s="7">
        <f>$B13 * IFERROR(VLOOKUP("LULUCF|NOx|Non-fatal heart attacks", US_national_yearly!$D:$AM, 33, FALSE) / VLOOKUP("LULUCF|NOx|Non-fatal heart attacks", US_national_yearly!$D:$AM, 10, FALSE), 1)</f>
        <v>8.896302194895512E-6</v>
      </c>
      <c r="Z13" s="7">
        <f>$B13 * IFERROR(VLOOKUP("LULUCF|NOx|Non-fatal heart attacks", US_national_yearly!$D:$AM, 34, FALSE) / VLOOKUP("LULUCF|NOx|Non-fatal heart attacks", US_national_yearly!$D:$AM, 10, FALSE), 1)</f>
        <v>8.9211932060117242E-6</v>
      </c>
      <c r="AA13" s="7">
        <f>$B13 * IFERROR(VLOOKUP("LULUCF|NOx|Non-fatal heart attacks", US_national_yearly!$D:$AM, 35, FALSE) / VLOOKUP("LULUCF|NOx|Non-fatal heart attacks", US_national_yearly!$D:$AM, 10, FALSE), 1)</f>
        <v>8.946084217127938E-6</v>
      </c>
      <c r="AB13" s="7">
        <f>$B13 * IFERROR(VLOOKUP("LULUCF|NOx|Non-fatal heart attacks", US_national_yearly!$D:$AM, 36, FALSE) / VLOOKUP("LULUCF|NOx|Non-fatal heart attacks", US_national_yearly!$D:$AM, 10, FALSE), 1)</f>
        <v>8.9709752282441535E-6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2.7216300746283797E-2</v>
      </c>
      <c r="C14" s="7">
        <f>$B14 * IFERROR(VLOOKUP("LULUCF|NOx|Minor restricted activity days", US_national_yearly!$D:$AM, 11, FALSE) / VLOOKUP("LULUCF|NOx|Minor restricted activity days", US_national_yearly!$D:$AM, 10, FALSE), 1)</f>
        <v>2.7258027902729947E-2</v>
      </c>
      <c r="D14" s="7">
        <f>$B14 * IFERROR(VLOOKUP("LULUCF|NOx|Minor restricted activity days", US_national_yearly!$D:$AM, 12, FALSE) / VLOOKUP("LULUCF|NOx|Minor restricted activity days", US_national_yearly!$D:$AM, 10, FALSE), 1)</f>
        <v>2.7299755059176103E-2</v>
      </c>
      <c r="E14" s="7">
        <f>$B14 * IFERROR(VLOOKUP("LULUCF|NOx|Minor restricted activity days", US_national_yearly!$D:$AM, 13, FALSE) / VLOOKUP("LULUCF|NOx|Minor restricted activity days", US_national_yearly!$D:$AM, 10, FALSE), 1)</f>
        <v>2.7341482215622256E-2</v>
      </c>
      <c r="F14" s="7">
        <f>$B14 * IFERROR(VLOOKUP("LULUCF|NOx|Minor restricted activity days", US_national_yearly!$D:$AM, 14, FALSE) / VLOOKUP("LULUCF|NOx|Minor restricted activity days", US_national_yearly!$D:$AM, 10, FALSE), 1)</f>
        <v>2.7383209372068406E-2</v>
      </c>
      <c r="G14" s="7">
        <f>$B14 * IFERROR(VLOOKUP("LULUCF|NOx|Minor restricted activity days", US_national_yearly!$D:$AM, 15, FALSE) / VLOOKUP("LULUCF|NOx|Minor restricted activity days", US_national_yearly!$D:$AM, 10, FALSE), 1)</f>
        <v>2.7458558684693487E-2</v>
      </c>
      <c r="H14" s="7">
        <f>$B14 * IFERROR(VLOOKUP("LULUCF|NOx|Minor restricted activity days", US_national_yearly!$D:$AM, 16, FALSE) / VLOOKUP("LULUCF|NOx|Minor restricted activity days", US_national_yearly!$D:$AM, 10, FALSE), 1)</f>
        <v>2.7533907997318561E-2</v>
      </c>
      <c r="I14" s="7">
        <f>$B14 * IFERROR(VLOOKUP("LULUCF|NOx|Minor restricted activity days", US_national_yearly!$D:$AM, 17, FALSE) / VLOOKUP("LULUCF|NOx|Minor restricted activity days", US_national_yearly!$D:$AM, 10, FALSE), 1)</f>
        <v>2.7681288273193078E-2</v>
      </c>
      <c r="J14" s="7">
        <f>$B14 * IFERROR(VLOOKUP("LULUCF|NOx|Minor restricted activity days", US_national_yearly!$D:$AM, 18, FALSE) / VLOOKUP("LULUCF|NOx|Minor restricted activity days", US_national_yearly!$D:$AM, 10, FALSE), 1)</f>
        <v>2.7828668549067587E-2</v>
      </c>
      <c r="K14" s="7">
        <f>$B14 * IFERROR(VLOOKUP("LULUCF|NOx|Minor restricted activity days", US_national_yearly!$D:$AM, 19, FALSE) / VLOOKUP("LULUCF|NOx|Minor restricted activity days", US_national_yearly!$D:$AM, 10, FALSE), 1)</f>
        <v>2.7976048824942104E-2</v>
      </c>
      <c r="L14" s="7">
        <f>$B14 * IFERROR(VLOOKUP("LULUCF|NOx|Minor restricted activity days", US_national_yearly!$D:$AM, 20, FALSE) / VLOOKUP("LULUCF|NOx|Minor restricted activity days", US_national_yearly!$D:$AM, 10, FALSE), 1)</f>
        <v>2.8123429100816614E-2</v>
      </c>
      <c r="M14" s="7">
        <f>$B14 * IFERROR(VLOOKUP("LULUCF|NOx|Minor restricted activity days", US_national_yearly!$D:$AM, 21, FALSE) / VLOOKUP("LULUCF|NOx|Minor restricted activity days", US_national_yearly!$D:$AM, 10, FALSE), 1)</f>
        <v>2.8270809376691131E-2</v>
      </c>
      <c r="N14" s="7">
        <f>$B14 * IFERROR(VLOOKUP("LULUCF|NOx|Minor restricted activity days", US_national_yearly!$D:$AM, 22, FALSE) / VLOOKUP("LULUCF|NOx|Minor restricted activity days", US_national_yearly!$D:$AM, 10, FALSE), 1)</f>
        <v>2.848182451398969E-2</v>
      </c>
      <c r="O14" s="7">
        <f>$B14 * IFERROR(VLOOKUP("LULUCF|NOx|Minor restricted activity days", US_national_yearly!$D:$AM, 23, FALSE) / VLOOKUP("LULUCF|NOx|Minor restricted activity days", US_national_yearly!$D:$AM, 10, FALSE), 1)</f>
        <v>2.869283965128825E-2</v>
      </c>
      <c r="P14" s="7">
        <f>$B14 * IFERROR(VLOOKUP("LULUCF|NOx|Minor restricted activity days", US_national_yearly!$D:$AM, 24, FALSE) / VLOOKUP("LULUCF|NOx|Minor restricted activity days", US_national_yearly!$D:$AM, 10, FALSE), 1)</f>
        <v>2.890385478858681E-2</v>
      </c>
      <c r="Q14" s="7">
        <f>$B14 * IFERROR(VLOOKUP("LULUCF|NOx|Minor restricted activity days", US_national_yearly!$D:$AM, 25, FALSE) / VLOOKUP("LULUCF|NOx|Minor restricted activity days", US_national_yearly!$D:$AM, 10, FALSE), 1)</f>
        <v>2.911486992588537E-2</v>
      </c>
      <c r="R14" s="7">
        <f>$B14 * IFERROR(VLOOKUP("LULUCF|NOx|Minor restricted activity days", US_national_yearly!$D:$AM, 26, FALSE) / VLOOKUP("LULUCF|NOx|Minor restricted activity days", US_national_yearly!$D:$AM, 10, FALSE), 1)</f>
        <v>2.932588506318393E-2</v>
      </c>
      <c r="S14" s="7">
        <f>$B14 * IFERROR(VLOOKUP("LULUCF|NOx|Minor restricted activity days", US_national_yearly!$D:$AM, 27, FALSE) / VLOOKUP("LULUCF|NOx|Minor restricted activity days", US_national_yearly!$D:$AM, 10, FALSE), 1)</f>
        <v>2.953685583500152E-2</v>
      </c>
      <c r="T14" s="7">
        <f>$B14 * IFERROR(VLOOKUP("LULUCF|NOx|Minor restricted activity days", US_national_yearly!$D:$AM, 28, FALSE) / VLOOKUP("LULUCF|NOx|Minor restricted activity days", US_national_yearly!$D:$AM, 10, FALSE), 1)</f>
        <v>2.97478266068191E-2</v>
      </c>
      <c r="U14" s="7">
        <f>$B14 * IFERROR(VLOOKUP("LULUCF|NOx|Minor restricted activity days", US_national_yearly!$D:$AM, 29, FALSE) / VLOOKUP("LULUCF|NOx|Minor restricted activity days", US_national_yearly!$D:$AM, 10, FALSE), 1)</f>
        <v>2.995879737863669E-2</v>
      </c>
      <c r="V14" s="7">
        <f>$B14 * IFERROR(VLOOKUP("LULUCF|NOx|Minor restricted activity days", US_national_yearly!$D:$AM, 30, FALSE) / VLOOKUP("LULUCF|NOx|Minor restricted activity days", US_national_yearly!$D:$AM, 10, FALSE), 1)</f>
        <v>3.0169768150454277E-2</v>
      </c>
      <c r="W14" s="7">
        <f>$B14 * IFERROR(VLOOKUP("LULUCF|NOx|Minor restricted activity days", US_national_yearly!$D:$AM, 31, FALSE) / VLOOKUP("LULUCF|NOx|Minor restricted activity days", US_national_yearly!$D:$AM, 10, FALSE), 1)</f>
        <v>3.038073892227186E-2</v>
      </c>
      <c r="X14" s="7">
        <f>$B14 * IFERROR(VLOOKUP("LULUCF|NOx|Minor restricted activity days", US_national_yearly!$D:$AM, 32, FALSE) / VLOOKUP("LULUCF|NOx|Minor restricted activity days", US_national_yearly!$D:$AM, 10, FALSE), 1)</f>
        <v>3.0559106672736997E-2</v>
      </c>
      <c r="Y14" s="7">
        <f>$B14 * IFERROR(VLOOKUP("LULUCF|NOx|Minor restricted activity days", US_national_yearly!$D:$AM, 33, FALSE) / VLOOKUP("LULUCF|NOx|Minor restricted activity days", US_national_yearly!$D:$AM, 10, FALSE), 1)</f>
        <v>3.0737474423202137E-2</v>
      </c>
      <c r="Z14" s="7">
        <f>$B14 * IFERROR(VLOOKUP("LULUCF|NOx|Minor restricted activity days", US_national_yearly!$D:$AM, 34, FALSE) / VLOOKUP("LULUCF|NOx|Minor restricted activity days", US_national_yearly!$D:$AM, 10, FALSE), 1)</f>
        <v>3.0915842173667277E-2</v>
      </c>
      <c r="AA14" s="7">
        <f>$B14 * IFERROR(VLOOKUP("LULUCF|NOx|Minor restricted activity days", US_national_yearly!$D:$AM, 35, FALSE) / VLOOKUP("LULUCF|NOx|Minor restricted activity days", US_national_yearly!$D:$AM, 10, FALSE), 1)</f>
        <v>3.1094209924132418E-2</v>
      </c>
      <c r="AB14" s="7">
        <f>$B14 * IFERROR(VLOOKUP("LULUCF|NOx|Minor restricted activity days", US_national_yearly!$D:$AM, 36, FALSE) / VLOOKUP("LULUCF|NOx|Minor restricted activity days", US_national_yearly!$D:$AM, 10, FALSE), 1)</f>
        <v>3.1272577674597554E-2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4.6058011414330854E-3</v>
      </c>
      <c r="C15" s="7">
        <f>$B15 * IFERROR(VLOOKUP("LULUCF|NOx|Work loss days", US_national_yearly!$D:$AM, 11, FALSE) / VLOOKUP("LULUCF|NOx|Work loss days", US_national_yearly!$D:$AM, 10, FALSE), 1)</f>
        <v>4.6160464982957531E-3</v>
      </c>
      <c r="D15" s="7">
        <f>$B15 * IFERROR(VLOOKUP("LULUCF|NOx|Work loss days", US_national_yearly!$D:$AM, 12, FALSE) / VLOOKUP("LULUCF|NOx|Work loss days", US_national_yearly!$D:$AM, 10, FALSE), 1)</f>
        <v>4.6262918551584226E-3</v>
      </c>
      <c r="E15" s="7">
        <f>$B15 * IFERROR(VLOOKUP("LULUCF|NOx|Work loss days", US_national_yearly!$D:$AM, 13, FALSE) / VLOOKUP("LULUCF|NOx|Work loss days", US_national_yearly!$D:$AM, 10, FALSE), 1)</f>
        <v>4.6365372120210904E-3</v>
      </c>
      <c r="F15" s="7">
        <f>$B15 * IFERROR(VLOOKUP("LULUCF|NOx|Work loss days", US_national_yearly!$D:$AM, 14, FALSE) / VLOOKUP("LULUCF|NOx|Work loss days", US_national_yearly!$D:$AM, 10, FALSE), 1)</f>
        <v>4.6467825688837599E-3</v>
      </c>
      <c r="G15" s="7">
        <f>$B15 * IFERROR(VLOOKUP("LULUCF|NOx|Work loss days", US_national_yearly!$D:$AM, 15, FALSE) / VLOOKUP("LULUCF|NOx|Work loss days", US_national_yearly!$D:$AM, 10, FALSE), 1)</f>
        <v>4.6617408773006984E-3</v>
      </c>
      <c r="H15" s="7">
        <f>$B15 * IFERROR(VLOOKUP("LULUCF|NOx|Work loss days", US_national_yearly!$D:$AM, 16, FALSE) / VLOOKUP("LULUCF|NOx|Work loss days", US_national_yearly!$D:$AM, 10, FALSE), 1)</f>
        <v>4.6766991857176386E-3</v>
      </c>
      <c r="I15" s="7">
        <f>$B15 * IFERROR(VLOOKUP("LULUCF|NOx|Work loss days", US_national_yearly!$D:$AM, 17, FALSE) / VLOOKUP("LULUCF|NOx|Work loss days", US_national_yearly!$D:$AM, 10, FALSE), 1)</f>
        <v>4.7009308346693552E-3</v>
      </c>
      <c r="J15" s="7">
        <f>$B15 * IFERROR(VLOOKUP("LULUCF|NOx|Work loss days", US_national_yearly!$D:$AM, 18, FALSE) / VLOOKUP("LULUCF|NOx|Work loss days", US_national_yearly!$D:$AM, 10, FALSE), 1)</f>
        <v>4.7251624836210726E-3</v>
      </c>
      <c r="K15" s="7">
        <f>$B15 * IFERROR(VLOOKUP("LULUCF|NOx|Work loss days", US_national_yearly!$D:$AM, 19, FALSE) / VLOOKUP("LULUCF|NOx|Work loss days", US_national_yearly!$D:$AM, 10, FALSE), 1)</f>
        <v>4.7493941325727901E-3</v>
      </c>
      <c r="L15" s="7">
        <f>$B15 * IFERROR(VLOOKUP("LULUCF|NOx|Work loss days", US_national_yearly!$D:$AM, 20, FALSE) / VLOOKUP("LULUCF|NOx|Work loss days", US_national_yearly!$D:$AM, 10, FALSE), 1)</f>
        <v>4.7736257815245067E-3</v>
      </c>
      <c r="M15" s="7">
        <f>$B15 * IFERROR(VLOOKUP("LULUCF|NOx|Work loss days", US_national_yearly!$D:$AM, 21, FALSE) / VLOOKUP("LULUCF|NOx|Work loss days", US_national_yearly!$D:$AM, 10, FALSE), 1)</f>
        <v>4.7978574304762241E-3</v>
      </c>
      <c r="N15" s="7">
        <f>$B15 * IFERROR(VLOOKUP("LULUCF|NOx|Work loss days", US_national_yearly!$D:$AM, 22, FALSE) / VLOOKUP("LULUCF|NOx|Work loss days", US_national_yearly!$D:$AM, 10, FALSE), 1)</f>
        <v>4.829393434666672E-3</v>
      </c>
      <c r="O15" s="7">
        <f>$B15 * IFERROR(VLOOKUP("LULUCF|NOx|Work loss days", US_national_yearly!$D:$AM, 23, FALSE) / VLOOKUP("LULUCF|NOx|Work loss days", US_national_yearly!$D:$AM, 10, FALSE), 1)</f>
        <v>4.8609294388571207E-3</v>
      </c>
      <c r="P15" s="7">
        <f>$B15 * IFERROR(VLOOKUP("LULUCF|NOx|Work loss days", US_national_yearly!$D:$AM, 24, FALSE) / VLOOKUP("LULUCF|NOx|Work loss days", US_national_yearly!$D:$AM, 10, FALSE), 1)</f>
        <v>4.8924654430475686E-3</v>
      </c>
      <c r="Q15" s="7">
        <f>$B15 * IFERROR(VLOOKUP("LULUCF|NOx|Work loss days", US_national_yearly!$D:$AM, 25, FALSE) / VLOOKUP("LULUCF|NOx|Work loss days", US_national_yearly!$D:$AM, 10, FALSE), 1)</f>
        <v>4.9240014472380156E-3</v>
      </c>
      <c r="R15" s="7">
        <f>$B15 * IFERROR(VLOOKUP("LULUCF|NOx|Work loss days", US_national_yearly!$D:$AM, 26, FALSE) / VLOOKUP("LULUCF|NOx|Work loss days", US_national_yearly!$D:$AM, 10, FALSE), 1)</f>
        <v>4.9555374514284644E-3</v>
      </c>
      <c r="S15" s="7">
        <f>$B15 * IFERROR(VLOOKUP("LULUCF|NOx|Work loss days", US_national_yearly!$D:$AM, 27, FALSE) / VLOOKUP("LULUCF|NOx|Work loss days", US_national_yearly!$D:$AM, 10, FALSE), 1)</f>
        <v>4.9906960638440977E-3</v>
      </c>
      <c r="T15" s="7">
        <f>$B15 * IFERROR(VLOOKUP("LULUCF|NOx|Work loss days", US_national_yearly!$D:$AM, 28, FALSE) / VLOOKUP("LULUCF|NOx|Work loss days", US_national_yearly!$D:$AM, 10, FALSE), 1)</f>
        <v>5.025854676259732E-3</v>
      </c>
      <c r="U15" s="7">
        <f>$B15 * IFERROR(VLOOKUP("LULUCF|NOx|Work loss days", US_national_yearly!$D:$AM, 29, FALSE) / VLOOKUP("LULUCF|NOx|Work loss days", US_national_yearly!$D:$AM, 10, FALSE), 1)</f>
        <v>5.0610132886753654E-3</v>
      </c>
      <c r="V15" s="7">
        <f>$B15 * IFERROR(VLOOKUP("LULUCF|NOx|Work loss days", US_national_yearly!$D:$AM, 30, FALSE) / VLOOKUP("LULUCF|NOx|Work loss days", US_national_yearly!$D:$AM, 10, FALSE), 1)</f>
        <v>5.0961719010909987E-3</v>
      </c>
      <c r="W15" s="7">
        <f>$B15 * IFERROR(VLOOKUP("LULUCF|NOx|Work loss days", US_national_yearly!$D:$AM, 31, FALSE) / VLOOKUP("LULUCF|NOx|Work loss days", US_national_yearly!$D:$AM, 10, FALSE), 1)</f>
        <v>5.131330513506633E-3</v>
      </c>
      <c r="X15" s="7">
        <f>$B15 * IFERROR(VLOOKUP("LULUCF|NOx|Work loss days", US_national_yearly!$D:$AM, 32, FALSE) / VLOOKUP("LULUCF|NOx|Work loss days", US_national_yearly!$D:$AM, 10, FALSE), 1)</f>
        <v>5.1618463145407861E-3</v>
      </c>
      <c r="Y15" s="7">
        <f>$B15 * IFERROR(VLOOKUP("LULUCF|NOx|Work loss days", US_national_yearly!$D:$AM, 33, FALSE) / VLOOKUP("LULUCF|NOx|Work loss days", US_national_yearly!$D:$AM, 10, FALSE), 1)</f>
        <v>5.1923621155749384E-3</v>
      </c>
      <c r="Z15" s="7">
        <f>$B15 * IFERROR(VLOOKUP("LULUCF|NOx|Work loss days", US_national_yearly!$D:$AM, 34, FALSE) / VLOOKUP("LULUCF|NOx|Work loss days", US_national_yearly!$D:$AM, 10, FALSE), 1)</f>
        <v>5.2228779166090915E-3</v>
      </c>
      <c r="AA15" s="7">
        <f>$B15 * IFERROR(VLOOKUP("LULUCF|NOx|Work loss days", US_national_yearly!$D:$AM, 35, FALSE) / VLOOKUP("LULUCF|NOx|Work loss days", US_national_yearly!$D:$AM, 10, FALSE), 1)</f>
        <v>5.2533937176432446E-3</v>
      </c>
      <c r="AB15" s="7">
        <f>$B15 * IFERROR(VLOOKUP("LULUCF|NOx|Work loss days", US_national_yearly!$D:$AM, 36, FALSE) / VLOOKUP("LULUCF|NOx|Work loss days", US_national_yearly!$D:$AM, 10, FALSE), 1)</f>
        <v>5.2839095186773977E-3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7.4661661606610421E-6</v>
      </c>
      <c r="C17" s="7">
        <f>$B17 * IFERROR(VLOOKUP("LULUCF|NOx|Cardiovascular hospital admissions", US_national_yearly!$D:$AM, 11, FALSE) / VLOOKUP("LULUCF|NOx|Cardiovascular hospital admissions", US_national_yearly!$D:$AM, 10, FALSE), 1)</f>
        <v>7.6855567036263316E-6</v>
      </c>
      <c r="D17" s="7">
        <f>$B17 * IFERROR(VLOOKUP("LULUCF|NOx|Cardiovascular hospital admissions", US_national_yearly!$D:$AM, 12, FALSE) / VLOOKUP("LULUCF|NOx|Cardiovascular hospital admissions", US_national_yearly!$D:$AM, 10, FALSE), 1)</f>
        <v>7.9049472465916195E-6</v>
      </c>
      <c r="E17" s="7">
        <f>$B17 * IFERROR(VLOOKUP("LULUCF|NOx|Cardiovascular hospital admissions", US_national_yearly!$D:$AM, 13, FALSE) / VLOOKUP("LULUCF|NOx|Cardiovascular hospital admissions", US_national_yearly!$D:$AM, 10, FALSE), 1)</f>
        <v>8.1243377895569073E-6</v>
      </c>
      <c r="F17" s="7">
        <f>$B17 * IFERROR(VLOOKUP("LULUCF|NOx|Cardiovascular hospital admissions", US_national_yearly!$D:$AM, 14, FALSE) / VLOOKUP("LULUCF|NOx|Cardiovascular hospital admissions", US_national_yearly!$D:$AM, 10, FALSE), 1)</f>
        <v>8.3437283325221968E-6</v>
      </c>
      <c r="G17" s="7">
        <f>$B17 * IFERROR(VLOOKUP("LULUCF|NOx|Cardiovascular hospital admissions", US_national_yearly!$D:$AM, 15, FALSE) / VLOOKUP("LULUCF|NOx|Cardiovascular hospital admissions", US_national_yearly!$D:$AM, 10, FALSE), 1)</f>
        <v>8.5521130667162633E-6</v>
      </c>
      <c r="H17" s="7">
        <f>$B17 * IFERROR(VLOOKUP("LULUCF|NOx|Cardiovascular hospital admissions", US_national_yearly!$D:$AM, 16, FALSE) / VLOOKUP("LULUCF|NOx|Cardiovascular hospital admissions", US_national_yearly!$D:$AM, 10, FALSE), 1)</f>
        <v>8.7604978009103299E-6</v>
      </c>
      <c r="I17" s="7">
        <f>$B17 * IFERROR(VLOOKUP("LULUCF|NOx|Cardiovascular hospital admissions", US_national_yearly!$D:$AM, 17, FALSE) / VLOOKUP("LULUCF|NOx|Cardiovascular hospital admissions", US_national_yearly!$D:$AM, 10, FALSE), 1)</f>
        <v>8.9357332863926748E-6</v>
      </c>
      <c r="J17" s="7">
        <f>$B17 * IFERROR(VLOOKUP("LULUCF|NOx|Cardiovascular hospital admissions", US_national_yearly!$D:$AM, 18, FALSE) / VLOOKUP("LULUCF|NOx|Cardiovascular hospital admissions", US_national_yearly!$D:$AM, 10, FALSE), 1)</f>
        <v>9.1109687718750198E-6</v>
      </c>
      <c r="K17" s="7">
        <f>$B17 * IFERROR(VLOOKUP("LULUCF|NOx|Cardiovascular hospital admissions", US_national_yearly!$D:$AM, 19, FALSE) / VLOOKUP("LULUCF|NOx|Cardiovascular hospital admissions", US_national_yearly!$D:$AM, 10, FALSE), 1)</f>
        <v>9.2862042573573647E-6</v>
      </c>
      <c r="L17" s="7">
        <f>$B17 * IFERROR(VLOOKUP("LULUCF|NOx|Cardiovascular hospital admissions", US_national_yearly!$D:$AM, 20, FALSE) / VLOOKUP("LULUCF|NOx|Cardiovascular hospital admissions", US_national_yearly!$D:$AM, 10, FALSE), 1)</f>
        <v>9.4614397428397096E-6</v>
      </c>
      <c r="M17" s="7">
        <f>$B17 * IFERROR(VLOOKUP("LULUCF|NOx|Cardiovascular hospital admissions", US_national_yearly!$D:$AM, 21, FALSE) / VLOOKUP("LULUCF|NOx|Cardiovascular hospital admissions", US_national_yearly!$D:$AM, 10, FALSE), 1)</f>
        <v>9.6366752283220562E-6</v>
      </c>
      <c r="N17" s="7">
        <f>$B17 * IFERROR(VLOOKUP("LULUCF|NOx|Cardiovascular hospital admissions", US_national_yearly!$D:$AM, 22, FALSE) / VLOOKUP("LULUCF|NOx|Cardiovascular hospital admissions", US_national_yearly!$D:$AM, 10, FALSE), 1)</f>
        <v>9.7462557837844469E-6</v>
      </c>
      <c r="O17" s="7">
        <f>$B17 * IFERROR(VLOOKUP("LULUCF|NOx|Cardiovascular hospital admissions", US_national_yearly!$D:$AM, 23, FALSE) / VLOOKUP("LULUCF|NOx|Cardiovascular hospital admissions", US_national_yearly!$D:$AM, 10, FALSE), 1)</f>
        <v>9.8558363392468393E-6</v>
      </c>
      <c r="P17" s="7">
        <f>$B17 * IFERROR(VLOOKUP("LULUCF|NOx|Cardiovascular hospital admissions", US_national_yearly!$D:$AM, 24, FALSE) / VLOOKUP("LULUCF|NOx|Cardiovascular hospital admissions", US_national_yearly!$D:$AM, 10, FALSE), 1)</f>
        <v>9.9654168947092283E-6</v>
      </c>
      <c r="Q17" s="7">
        <f>$B17 * IFERROR(VLOOKUP("LULUCF|NOx|Cardiovascular hospital admissions", US_national_yearly!$D:$AM, 25, FALSE) / VLOOKUP("LULUCF|NOx|Cardiovascular hospital admissions", US_national_yearly!$D:$AM, 10, FALSE), 1)</f>
        <v>1.0074997450171621E-5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1.0184578005634011E-5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1.0234576603956771E-5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1.0284575202279533E-5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1.0334573800602291E-5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1.0384572398925053E-5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1.0434570997247813E-5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1.0462396950646577E-5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1.0490222904045339E-5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1.0518048857444102E-5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1.0545874810842864E-5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1.0573700764241628E-5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9.8398579559250853E-5</v>
      </c>
      <c r="C2" s="7">
        <f>$B2 * IFERROR(VLOOKUP("LULUCF|SO2|Premature mortality", US_national_yearly!$D:$AM, 11, FALSE) / VLOOKUP("LULUCF|SO2|Premature mortality", US_national_yearly!$D:$AM, 10, FALSE), 1)</f>
        <v>9.9644744329397322E-5</v>
      </c>
      <c r="D2" s="7">
        <f>$B2 * IFERROR(VLOOKUP("LULUCF|SO2|Premature mortality", US_national_yearly!$D:$AM, 12, FALSE) / VLOOKUP("LULUCF|SO2|Premature mortality", US_national_yearly!$D:$AM, 10, FALSE), 1)</f>
        <v>1.008909090995438E-4</v>
      </c>
      <c r="E2" s="7">
        <f>$B2 * IFERROR(VLOOKUP("LULUCF|SO2|Premature mortality", US_national_yearly!$D:$AM, 13, FALSE) / VLOOKUP("LULUCF|SO2|Premature mortality", US_national_yearly!$D:$AM, 10, FALSE), 1)</f>
        <v>1.0213707386969026E-4</v>
      </c>
      <c r="F2" s="7">
        <f>$B2 * IFERROR(VLOOKUP("LULUCF|SO2|Premature mortality", US_national_yearly!$D:$AM, 14, FALSE) / VLOOKUP("LULUCF|SO2|Premature mortality", US_national_yearly!$D:$AM, 10, FALSE), 1)</f>
        <v>1.0338323863983673E-4</v>
      </c>
      <c r="G2" s="7">
        <f>$B2 * IFERROR(VLOOKUP("LULUCF|SO2|Premature mortality", US_national_yearly!$D:$AM, 15, FALSE) / VLOOKUP("LULUCF|SO2|Premature mortality", US_national_yearly!$D:$AM, 10, FALSE), 1)</f>
        <v>1.0578452752695153E-4</v>
      </c>
      <c r="H2" s="7">
        <f>$B2 * IFERROR(VLOOKUP("LULUCF|SO2|Premature mortality", US_national_yearly!$D:$AM, 16, FALSE) / VLOOKUP("LULUCF|SO2|Premature mortality", US_national_yearly!$D:$AM, 10, FALSE), 1)</f>
        <v>1.0818581641406631E-4</v>
      </c>
      <c r="I2" s="7">
        <f>$B2 * IFERROR(VLOOKUP("LULUCF|SO2|Premature mortality", US_national_yearly!$D:$AM, 17, FALSE) / VLOOKUP("LULUCF|SO2|Premature mortality", US_national_yearly!$D:$AM, 10, FALSE), 1)</f>
        <v>1.0977273524729369E-4</v>
      </c>
      <c r="J2" s="7">
        <f>$B2 * IFERROR(VLOOKUP("LULUCF|SO2|Premature mortality", US_national_yearly!$D:$AM, 18, FALSE) / VLOOKUP("LULUCF|SO2|Premature mortality", US_national_yearly!$D:$AM, 10, FALSE), 1)</f>
        <v>1.1135965408052106E-4</v>
      </c>
      <c r="K2" s="7">
        <f>$B2 * IFERROR(VLOOKUP("LULUCF|SO2|Premature mortality", US_national_yearly!$D:$AM, 19, FALSE) / VLOOKUP("LULUCF|SO2|Premature mortality", US_national_yearly!$D:$AM, 10, FALSE), 1)</f>
        <v>1.1294657291374842E-4</v>
      </c>
      <c r="L2" s="7">
        <f>$B2 * IFERROR(VLOOKUP("LULUCF|SO2|Premature mortality", US_national_yearly!$D:$AM, 20, FALSE) / VLOOKUP("LULUCF|SO2|Premature mortality", US_national_yearly!$D:$AM, 10, FALSE), 1)</f>
        <v>1.1453349174697579E-4</v>
      </c>
      <c r="M2" s="7">
        <f>$B2 * IFERROR(VLOOKUP("LULUCF|SO2|Premature mortality", US_national_yearly!$D:$AM, 21, FALSE) / VLOOKUP("LULUCF|SO2|Premature mortality", US_national_yearly!$D:$AM, 10, FALSE), 1)</f>
        <v>1.1612041058020317E-4</v>
      </c>
      <c r="N2" s="7">
        <f>$B2 * IFERROR(VLOOKUP("LULUCF|SO2|Premature mortality", US_national_yearly!$D:$AM, 22, FALSE) / VLOOKUP("LULUCF|SO2|Premature mortality", US_national_yearly!$D:$AM, 10, FALSE), 1)</f>
        <v>1.1736034287768244E-4</v>
      </c>
      <c r="O2" s="7">
        <f>$B2 * IFERROR(VLOOKUP("LULUCF|SO2|Premature mortality", US_national_yearly!$D:$AM, 23, FALSE) / VLOOKUP("LULUCF|SO2|Premature mortality", US_national_yearly!$D:$AM, 10, FALSE), 1)</f>
        <v>1.1860027517516171E-4</v>
      </c>
      <c r="P2" s="7">
        <f>$B2 * IFERROR(VLOOKUP("LULUCF|SO2|Premature mortality", US_national_yearly!$D:$AM, 24, FALSE) / VLOOKUP("LULUCF|SO2|Premature mortality", US_national_yearly!$D:$AM, 10, FALSE), 1)</f>
        <v>1.1984020747264097E-4</v>
      </c>
      <c r="Q2" s="7">
        <f>$B2 * IFERROR(VLOOKUP("LULUCF|SO2|Premature mortality", US_national_yearly!$D:$AM, 25, FALSE) / VLOOKUP("LULUCF|SO2|Premature mortality", US_national_yearly!$D:$AM, 10, FALSE), 1)</f>
        <v>1.2108013977012024E-4</v>
      </c>
      <c r="R2" s="7">
        <f>$B2 * IFERROR(VLOOKUP("LULUCF|SO2|Premature mortality", US_national_yearly!$D:$AM, 26, FALSE) / VLOOKUP("LULUCF|SO2|Premature mortality", US_national_yearly!$D:$AM, 10, FALSE), 1)</f>
        <v>1.2232007206759948E-4</v>
      </c>
      <c r="S2" s="7">
        <f>$B2 * IFERROR(VLOOKUP("LULUCF|SO2|Premature mortality", US_national_yearly!$D:$AM, 27, FALSE) / VLOOKUP("LULUCF|SO2|Premature mortality", US_national_yearly!$D:$AM, 10, FALSE), 1)</f>
        <v>1.2298407232284522E-4</v>
      </c>
      <c r="T2" s="7">
        <f>$B2 * IFERROR(VLOOKUP("LULUCF|SO2|Premature mortality", US_national_yearly!$D:$AM, 28, FALSE) / VLOOKUP("LULUCF|SO2|Premature mortality", US_national_yearly!$D:$AM, 10, FALSE), 1)</f>
        <v>1.2364807257809096E-4</v>
      </c>
      <c r="U2" s="7">
        <f>$B2 * IFERROR(VLOOKUP("LULUCF|SO2|Premature mortality", US_national_yearly!$D:$AM, 29, FALSE) / VLOOKUP("LULUCF|SO2|Premature mortality", US_national_yearly!$D:$AM, 10, FALSE), 1)</f>
        <v>1.2431207283333668E-4</v>
      </c>
      <c r="V2" s="7">
        <f>$B2 * IFERROR(VLOOKUP("LULUCF|SO2|Premature mortality", US_national_yearly!$D:$AM, 30, FALSE) / VLOOKUP("LULUCF|SO2|Premature mortality", US_national_yearly!$D:$AM, 10, FALSE), 1)</f>
        <v>1.2497607308858239E-4</v>
      </c>
      <c r="W2" s="7">
        <f>$B2 * IFERROR(VLOOKUP("LULUCF|SO2|Premature mortality", US_national_yearly!$D:$AM, 31, FALSE) / VLOOKUP("LULUCF|SO2|Premature mortality", US_national_yearly!$D:$AM, 10, FALSE), 1)</f>
        <v>1.2564007334382816E-4</v>
      </c>
      <c r="X2" s="7">
        <f>$B2 * IFERROR(VLOOKUP("LULUCF|SO2|Premature mortality", US_national_yearly!$D:$AM, 32, FALSE) / VLOOKUP("LULUCF|SO2|Premature mortality", US_national_yearly!$D:$AM, 10, FALSE), 1)</f>
        <v>1.2577496702670537E-4</v>
      </c>
      <c r="Y2" s="7">
        <f>$B2 * IFERROR(VLOOKUP("LULUCF|SO2|Premature mortality", US_national_yearly!$D:$AM, 33, FALSE) / VLOOKUP("LULUCF|SO2|Premature mortality", US_national_yearly!$D:$AM, 10, FALSE), 1)</f>
        <v>1.2590986070958258E-4</v>
      </c>
      <c r="Z2" s="7">
        <f>$B2 * IFERROR(VLOOKUP("LULUCF|SO2|Premature mortality", US_national_yearly!$D:$AM, 34, FALSE) / VLOOKUP("LULUCF|SO2|Premature mortality", US_national_yearly!$D:$AM, 10, FALSE), 1)</f>
        <v>1.2604475439245981E-4</v>
      </c>
      <c r="AA2" s="7">
        <f>$B2 * IFERROR(VLOOKUP("LULUCF|SO2|Premature mortality", US_national_yearly!$D:$AM, 35, FALSE) / VLOOKUP("LULUCF|SO2|Premature mortality", US_national_yearly!$D:$AM, 10, FALSE), 1)</f>
        <v>1.2617964807533705E-4</v>
      </c>
      <c r="AB2" s="7">
        <f>$B2 * IFERROR(VLOOKUP("LULUCF|SO2|Premature mortality", US_national_yearly!$D:$AM, 36, FALSE) / VLOOKUP("LULUCF|SO2|Premature mortality", US_national_yearly!$D:$AM, 10, FALSE), 1)</f>
        <v>1.2631454175821426E-4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2.0156136309736618E-7</v>
      </c>
      <c r="C3" s="7">
        <f>$B3 * IFERROR(VLOOKUP("LULUCF|SO2|Infant mortality", US_national_yearly!$D:$AM, 11, FALSE) / VLOOKUP("LULUCF|SO2|Infant mortality", US_national_yearly!$D:$AM, 10, FALSE), 1)</f>
        <v>1.9982991422244429E-7</v>
      </c>
      <c r="D3" s="7">
        <f>$B3 * IFERROR(VLOOKUP("LULUCF|SO2|Infant mortality", US_national_yearly!$D:$AM, 12, FALSE) / VLOOKUP("LULUCF|SO2|Infant mortality", US_national_yearly!$D:$AM, 10, FALSE), 1)</f>
        <v>1.9809846534752242E-7</v>
      </c>
      <c r="E3" s="7">
        <f>$B3 * IFERROR(VLOOKUP("LULUCF|SO2|Infant mortality", US_national_yearly!$D:$AM, 13, FALSE) / VLOOKUP("LULUCF|SO2|Infant mortality", US_national_yearly!$D:$AM, 10, FALSE), 1)</f>
        <v>1.963670164726005E-7</v>
      </c>
      <c r="F3" s="7">
        <f>$B3 * IFERROR(VLOOKUP("LULUCF|SO2|Infant mortality", US_national_yearly!$D:$AM, 14, FALSE) / VLOOKUP("LULUCF|SO2|Infant mortality", US_national_yearly!$D:$AM, 10, FALSE), 1)</f>
        <v>1.9463556759767861E-7</v>
      </c>
      <c r="G3" s="7">
        <f>$B3 * IFERROR(VLOOKUP("LULUCF|SO2|Infant mortality", US_national_yearly!$D:$AM, 15, FALSE) / VLOOKUP("LULUCF|SO2|Infant mortality", US_national_yearly!$D:$AM, 10, FALSE), 1)</f>
        <v>1.2964296427632694E-7</v>
      </c>
      <c r="H3" s="7">
        <f>$B3 * IFERROR(VLOOKUP("LULUCF|SO2|Infant mortality", US_national_yearly!$D:$AM, 16, FALSE) / VLOOKUP("LULUCF|SO2|Infant mortality", US_national_yearly!$D:$AM, 10, FALSE), 1)</f>
        <v>6.4650360954975394E-8</v>
      </c>
      <c r="I3" s="7">
        <f>$B3 * IFERROR(VLOOKUP("LULUCF|SO2|Infant mortality", US_national_yearly!$D:$AM, 17, FALSE) / VLOOKUP("LULUCF|SO2|Infant mortality", US_national_yearly!$D:$AM, 10, FALSE), 1)</f>
        <v>6.4244789717971999E-8</v>
      </c>
      <c r="J3" s="7">
        <f>$B3 * IFERROR(VLOOKUP("LULUCF|SO2|Infant mortality", US_national_yearly!$D:$AM, 18, FALSE) / VLOOKUP("LULUCF|SO2|Infant mortality", US_national_yearly!$D:$AM, 10, FALSE), 1)</f>
        <v>6.3839218480968604E-8</v>
      </c>
      <c r="K3" s="7">
        <f>$B3 * IFERROR(VLOOKUP("LULUCF|SO2|Infant mortality", US_national_yearly!$D:$AM, 19, FALSE) / VLOOKUP("LULUCF|SO2|Infant mortality", US_national_yearly!$D:$AM, 10, FALSE), 1)</f>
        <v>6.3433647243965196E-8</v>
      </c>
      <c r="L3" s="7">
        <f>$B3 * IFERROR(VLOOKUP("LULUCF|SO2|Infant mortality", US_national_yearly!$D:$AM, 20, FALSE) / VLOOKUP("LULUCF|SO2|Infant mortality", US_national_yearly!$D:$AM, 10, FALSE), 1)</f>
        <v>6.3028076006961815E-8</v>
      </c>
      <c r="M3" s="7">
        <f>$B3 * IFERROR(VLOOKUP("LULUCF|SO2|Infant mortality", US_national_yearly!$D:$AM, 21, FALSE) / VLOOKUP("LULUCF|SO2|Infant mortality", US_national_yearly!$D:$AM, 10, FALSE), 1)</f>
        <v>6.262250476995842E-8</v>
      </c>
      <c r="N3" s="7">
        <f>$B3 * IFERROR(VLOOKUP("LULUCF|SO2|Infant mortality", US_national_yearly!$D:$AM, 22, FALSE) / VLOOKUP("LULUCF|SO2|Infant mortality", US_national_yearly!$D:$AM, 10, FALSE), 1)</f>
        <v>6.2367930740866252E-8</v>
      </c>
      <c r="O3" s="7">
        <f>$B3 * IFERROR(VLOOKUP("LULUCF|SO2|Infant mortality", US_national_yearly!$D:$AM, 23, FALSE) / VLOOKUP("LULUCF|SO2|Infant mortality", US_national_yearly!$D:$AM, 10, FALSE), 1)</f>
        <v>6.211335671177407E-8</v>
      </c>
      <c r="P3" s="7">
        <f>$B3 * IFERROR(VLOOKUP("LULUCF|SO2|Infant mortality", US_national_yearly!$D:$AM, 24, FALSE) / VLOOKUP("LULUCF|SO2|Infant mortality", US_national_yearly!$D:$AM, 10, FALSE), 1)</f>
        <v>6.1858782682681889E-8</v>
      </c>
      <c r="Q3" s="7">
        <f>$B3 * IFERROR(VLOOKUP("LULUCF|SO2|Infant mortality", US_national_yearly!$D:$AM, 25, FALSE) / VLOOKUP("LULUCF|SO2|Infant mortality", US_national_yearly!$D:$AM, 10, FALSE), 1)</f>
        <v>6.160420865358972E-8</v>
      </c>
      <c r="R3" s="7">
        <f>$B3 * IFERROR(VLOOKUP("LULUCF|SO2|Infant mortality", US_national_yearly!$D:$AM, 26, FALSE) / VLOOKUP("LULUCF|SO2|Infant mortality", US_national_yearly!$D:$AM, 10, FALSE), 1)</f>
        <v>6.1349634624497539E-8</v>
      </c>
      <c r="S3" s="7">
        <f>$B3 * IFERROR(VLOOKUP("LULUCF|SO2|Infant mortality", US_national_yearly!$D:$AM, 27, FALSE) / VLOOKUP("LULUCF|SO2|Infant mortality", US_national_yearly!$D:$AM, 10, FALSE), 1)</f>
        <v>6.1030001421990479E-8</v>
      </c>
      <c r="T3" s="7">
        <f>$B3 * IFERROR(VLOOKUP("LULUCF|SO2|Infant mortality", US_national_yearly!$D:$AM, 28, FALSE) / VLOOKUP("LULUCF|SO2|Infant mortality", US_national_yearly!$D:$AM, 10, FALSE), 1)</f>
        <v>6.0710368219483419E-8</v>
      </c>
      <c r="U3" s="7">
        <f>$B3 * IFERROR(VLOOKUP("LULUCF|SO2|Infant mortality", US_national_yearly!$D:$AM, 29, FALSE) / VLOOKUP("LULUCF|SO2|Infant mortality", US_national_yearly!$D:$AM, 10, FALSE), 1)</f>
        <v>6.0390735016976346E-8</v>
      </c>
      <c r="V3" s="7">
        <f>$B3 * IFERROR(VLOOKUP("LULUCF|SO2|Infant mortality", US_national_yearly!$D:$AM, 30, FALSE) / VLOOKUP("LULUCF|SO2|Infant mortality", US_national_yearly!$D:$AM, 10, FALSE), 1)</f>
        <v>6.00711018144693E-8</v>
      </c>
      <c r="W3" s="7">
        <f>$B3 * IFERROR(VLOOKUP("LULUCF|SO2|Infant mortality", US_national_yearly!$D:$AM, 31, FALSE) / VLOOKUP("LULUCF|SO2|Infant mortality", US_national_yearly!$D:$AM, 10, FALSE), 1)</f>
        <v>5.9751468611962227E-8</v>
      </c>
      <c r="X3" s="7">
        <f>$B3 * IFERROR(VLOOKUP("LULUCF|SO2|Infant mortality", US_national_yearly!$D:$AM, 32, FALSE) / VLOOKUP("LULUCF|SO2|Infant mortality", US_national_yearly!$D:$AM, 10, FALSE), 1)</f>
        <v>5.940201085977918E-8</v>
      </c>
      <c r="Y3" s="7">
        <f>$B3 * IFERROR(VLOOKUP("LULUCF|SO2|Infant mortality", US_national_yearly!$D:$AM, 33, FALSE) / VLOOKUP("LULUCF|SO2|Infant mortality", US_national_yearly!$D:$AM, 10, FALSE), 1)</f>
        <v>5.9052553107596106E-8</v>
      </c>
      <c r="Z3" s="7">
        <f>$B3 * IFERROR(VLOOKUP("LULUCF|SO2|Infant mortality", US_national_yearly!$D:$AM, 34, FALSE) / VLOOKUP("LULUCF|SO2|Infant mortality", US_national_yearly!$D:$AM, 10, FALSE), 1)</f>
        <v>5.8703095355413059E-8</v>
      </c>
      <c r="AA3" s="7">
        <f>$B3 * IFERROR(VLOOKUP("LULUCF|SO2|Infant mortality", US_national_yearly!$D:$AM, 35, FALSE) / VLOOKUP("LULUCF|SO2|Infant mortality", US_national_yearly!$D:$AM, 10, FALSE), 1)</f>
        <v>5.8353637603229993E-8</v>
      </c>
      <c r="AB3" s="7">
        <f>$B3 * IFERROR(VLOOKUP("LULUCF|SO2|Infant mortality", US_national_yearly!$D:$AM, 36, FALSE) / VLOOKUP("LULUCF|SO2|Infant mortality", US_national_yearly!$D:$AM, 10, FALSE), 1)</f>
        <v>5.8004179851046946E-8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2.2116828422526514E-4</v>
      </c>
      <c r="C6" s="7">
        <f>$B6 * IFERROR(VLOOKUP("LULUCF|SO2|Asthma symptoms cough", US_national_yearly!$D:$AM, 11, FALSE) / VLOOKUP("LULUCF|SO2|Asthma symptoms cough", US_national_yearly!$D:$AM, 10, FALSE), 1)</f>
        <v>2.2116828422526514E-4</v>
      </c>
      <c r="D6" s="7">
        <f>$B6 * IFERROR(VLOOKUP("LULUCF|SO2|Asthma symptoms cough", US_national_yearly!$D:$AM, 12, FALSE) / VLOOKUP("LULUCF|SO2|Asthma symptoms cough", US_national_yearly!$D:$AM, 10, FALSE), 1)</f>
        <v>2.2116828422526514E-4</v>
      </c>
      <c r="E6" s="7">
        <f>$B6 * IFERROR(VLOOKUP("LULUCF|SO2|Asthma symptoms cough", US_national_yearly!$D:$AM, 13, FALSE) / VLOOKUP("LULUCF|SO2|Asthma symptoms cough", US_national_yearly!$D:$AM, 10, FALSE), 1)</f>
        <v>2.2116828422526514E-4</v>
      </c>
      <c r="F6" s="7">
        <f>$B6 * IFERROR(VLOOKUP("LULUCF|SO2|Asthma symptoms cough", US_national_yearly!$D:$AM, 14, FALSE) / VLOOKUP("LULUCF|SO2|Asthma symptoms cough", US_national_yearly!$D:$AM, 10, FALSE), 1)</f>
        <v>2.2116828422526514E-4</v>
      </c>
      <c r="G6" s="7">
        <f>$B6 * IFERROR(VLOOKUP("LULUCF|SO2|Asthma symptoms cough", US_national_yearly!$D:$AM, 15, FALSE) / VLOOKUP("LULUCF|SO2|Asthma symptoms cough", US_national_yearly!$D:$AM, 10, FALSE), 1)</f>
        <v>2.2116828422526514E-4</v>
      </c>
      <c r="H6" s="7">
        <f>$B6 * IFERROR(VLOOKUP("LULUCF|SO2|Asthma symptoms cough", US_national_yearly!$D:$AM, 16, FALSE) / VLOOKUP("LULUCF|SO2|Asthma symptoms cough", US_national_yearly!$D:$AM, 10, FALSE), 1)</f>
        <v>2.2116828422526514E-4</v>
      </c>
      <c r="I6" s="7">
        <f>$B6 * IFERROR(VLOOKUP("LULUCF|SO2|Asthma symptoms cough", US_national_yearly!$D:$AM, 17, FALSE) / VLOOKUP("LULUCF|SO2|Asthma symptoms cough", US_national_yearly!$D:$AM, 10, FALSE), 1)</f>
        <v>2.2116828422526514E-4</v>
      </c>
      <c r="J6" s="7">
        <f>$B6 * IFERROR(VLOOKUP("LULUCF|SO2|Asthma symptoms cough", US_national_yearly!$D:$AM, 18, FALSE) / VLOOKUP("LULUCF|SO2|Asthma symptoms cough", US_national_yearly!$D:$AM, 10, FALSE), 1)</f>
        <v>2.2116828422526514E-4</v>
      </c>
      <c r="K6" s="7">
        <f>$B6 * IFERROR(VLOOKUP("LULUCF|SO2|Asthma symptoms cough", US_national_yearly!$D:$AM, 19, FALSE) / VLOOKUP("LULUCF|SO2|Asthma symptoms cough", US_national_yearly!$D:$AM, 10, FALSE), 1)</f>
        <v>2.2116828422526514E-4</v>
      </c>
      <c r="L6" s="7">
        <f>$B6 * IFERROR(VLOOKUP("LULUCF|SO2|Asthma symptoms cough", US_national_yearly!$D:$AM, 20, FALSE) / VLOOKUP("LULUCF|SO2|Asthma symptoms cough", US_national_yearly!$D:$AM, 10, FALSE), 1)</f>
        <v>2.2116828422526514E-4</v>
      </c>
      <c r="M6" s="7">
        <f>$B6 * IFERROR(VLOOKUP("LULUCF|SO2|Asthma symptoms cough", US_national_yearly!$D:$AM, 21, FALSE) / VLOOKUP("LULUCF|SO2|Asthma symptoms cough", US_national_yearly!$D:$AM, 10, FALSE), 1)</f>
        <v>2.2116828422526514E-4</v>
      </c>
      <c r="N6" s="7">
        <f>$B6 * IFERROR(VLOOKUP("LULUCF|SO2|Asthma symptoms cough", US_national_yearly!$D:$AM, 22, FALSE) / VLOOKUP("LULUCF|SO2|Asthma symptoms cough", US_national_yearly!$D:$AM, 10, FALSE), 1)</f>
        <v>2.2116828422526514E-4</v>
      </c>
      <c r="O6" s="7">
        <f>$B6 * IFERROR(VLOOKUP("LULUCF|SO2|Asthma symptoms cough", US_national_yearly!$D:$AM, 23, FALSE) / VLOOKUP("LULUCF|SO2|Asthma symptoms cough", US_national_yearly!$D:$AM, 10, FALSE), 1)</f>
        <v>2.2116828422526514E-4</v>
      </c>
      <c r="P6" s="7">
        <f>$B6 * IFERROR(VLOOKUP("LULUCF|SO2|Asthma symptoms cough", US_national_yearly!$D:$AM, 24, FALSE) / VLOOKUP("LULUCF|SO2|Asthma symptoms cough", US_national_yearly!$D:$AM, 10, FALSE), 1)</f>
        <v>2.2116828422526514E-4</v>
      </c>
      <c r="Q6" s="7">
        <f>$B6 * IFERROR(VLOOKUP("LULUCF|SO2|Asthma symptoms cough", US_national_yearly!$D:$AM, 25, FALSE) / VLOOKUP("LULUCF|SO2|Asthma symptoms cough", US_national_yearly!$D:$AM, 10, FALSE), 1)</f>
        <v>2.2116828422526514E-4</v>
      </c>
      <c r="R6" s="7">
        <f>$B6 * IFERROR(VLOOKUP("LULUCF|SO2|Asthma symptoms cough", US_national_yearly!$D:$AM, 26, FALSE) / VLOOKUP("LULUCF|SO2|Asthma symptoms cough", US_national_yearly!$D:$AM, 10, FALSE), 1)</f>
        <v>2.2116828422526514E-4</v>
      </c>
      <c r="S6" s="7">
        <f>$B6 * IFERROR(VLOOKUP("LULUCF|SO2|Asthma symptoms cough", US_national_yearly!$D:$AM, 27, FALSE) / VLOOKUP("LULUCF|SO2|Asthma symptoms cough", US_national_yearly!$D:$AM, 10, FALSE), 1)</f>
        <v>2.2116828422526514E-4</v>
      </c>
      <c r="T6" s="7">
        <f>$B6 * IFERROR(VLOOKUP("LULUCF|SO2|Asthma symptoms cough", US_national_yearly!$D:$AM, 28, FALSE) / VLOOKUP("LULUCF|SO2|Asthma symptoms cough", US_national_yearly!$D:$AM, 10, FALSE), 1)</f>
        <v>2.2116828422526514E-4</v>
      </c>
      <c r="U6" s="7">
        <f>$B6 * IFERROR(VLOOKUP("LULUCF|SO2|Asthma symptoms cough", US_national_yearly!$D:$AM, 29, FALSE) / VLOOKUP("LULUCF|SO2|Asthma symptoms cough", US_national_yearly!$D:$AM, 10, FALSE), 1)</f>
        <v>2.2116828422526514E-4</v>
      </c>
      <c r="V6" s="7">
        <f>$B6 * IFERROR(VLOOKUP("LULUCF|SO2|Asthma symptoms cough", US_national_yearly!$D:$AM, 30, FALSE) / VLOOKUP("LULUCF|SO2|Asthma symptoms cough", US_national_yearly!$D:$AM, 10, FALSE), 1)</f>
        <v>2.2116828422526514E-4</v>
      </c>
      <c r="W6" s="7">
        <f>$B6 * IFERROR(VLOOKUP("LULUCF|SO2|Asthma symptoms cough", US_national_yearly!$D:$AM, 31, FALSE) / VLOOKUP("LULUCF|SO2|Asthma symptoms cough", US_national_yearly!$D:$AM, 10, FALSE), 1)</f>
        <v>2.2116828422526514E-4</v>
      </c>
      <c r="X6" s="7">
        <f>$B6 * IFERROR(VLOOKUP("LULUCF|SO2|Asthma symptoms cough", US_national_yearly!$D:$AM, 32, FALSE) / VLOOKUP("LULUCF|SO2|Asthma symptoms cough", US_national_yearly!$D:$AM, 10, FALSE), 1)</f>
        <v>2.2116828422526514E-4</v>
      </c>
      <c r="Y6" s="7">
        <f>$B6 * IFERROR(VLOOKUP("LULUCF|SO2|Asthma symptoms cough", US_national_yearly!$D:$AM, 33, FALSE) / VLOOKUP("LULUCF|SO2|Asthma symptoms cough", US_national_yearly!$D:$AM, 10, FALSE), 1)</f>
        <v>2.2116828422526514E-4</v>
      </c>
      <c r="Z6" s="7">
        <f>$B6 * IFERROR(VLOOKUP("LULUCF|SO2|Asthma symptoms cough", US_national_yearly!$D:$AM, 34, FALSE) / VLOOKUP("LULUCF|SO2|Asthma symptoms cough", US_national_yearly!$D:$AM, 10, FALSE), 1)</f>
        <v>2.2116828422526514E-4</v>
      </c>
      <c r="AA6" s="7">
        <f>$B6 * IFERROR(VLOOKUP("LULUCF|SO2|Asthma symptoms cough", US_national_yearly!$D:$AM, 35, FALSE) / VLOOKUP("LULUCF|SO2|Asthma symptoms cough", US_national_yearly!$D:$AM, 10, FALSE), 1)</f>
        <v>2.2116828422526514E-4</v>
      </c>
      <c r="AB6" s="7">
        <f>$B6 * IFERROR(VLOOKUP("LULUCF|SO2|Asthma symptoms cough", US_national_yearly!$D:$AM, 36, FALSE) / VLOOKUP("LULUCF|SO2|Asthma symptoms cough", US_national_yearly!$D:$AM, 10, FALSE), 1)</f>
        <v>2.2116828422526514E-4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2.9783481149329896E-4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2.9783481149329896E-4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2.9783481149329896E-4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2.9783481149329896E-4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2.9783481149329896E-4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2.9783481149329896E-4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2.9783481149329896E-4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2.9783481149329896E-4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2.9783481149329896E-4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2.9783481149329896E-4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2.9783481149329896E-4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2.9783481149329896E-4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2.9783481149329896E-4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2.9783481149329896E-4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2.9783481149329896E-4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2.9783481149329896E-4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2.9783481149329896E-4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2.9783481149329896E-4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2.9783481149329896E-4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2.9783481149329896E-4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2.9783481149329896E-4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2.9783481149329896E-4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2.9783481149329896E-4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2.9783481149329896E-4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2.9783481149329896E-4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2.9783481149329896E-4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2.9783481149329896E-4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4.5504245721039846E-4</v>
      </c>
      <c r="C8" s="7">
        <f>$B8 * IFERROR(VLOOKUP("LULUCF|SO2|Asthma symptoms wheeze", US_national_yearly!$D:$AM, 11, FALSE) / VLOOKUP("LULUCF|SO2|Asthma symptoms wheeze", US_national_yearly!$D:$AM, 10, FALSE), 1)</f>
        <v>4.5504245721039846E-4</v>
      </c>
      <c r="D8" s="7">
        <f>$B8 * IFERROR(VLOOKUP("LULUCF|SO2|Asthma symptoms wheeze", US_national_yearly!$D:$AM, 12, FALSE) / VLOOKUP("LULUCF|SO2|Asthma symptoms wheeze", US_national_yearly!$D:$AM, 10, FALSE), 1)</f>
        <v>4.5504245721039846E-4</v>
      </c>
      <c r="E8" s="7">
        <f>$B8 * IFERROR(VLOOKUP("LULUCF|SO2|Asthma symptoms wheeze", US_national_yearly!$D:$AM, 13, FALSE) / VLOOKUP("LULUCF|SO2|Asthma symptoms wheeze", US_national_yearly!$D:$AM, 10, FALSE), 1)</f>
        <v>4.5504245721039846E-4</v>
      </c>
      <c r="F8" s="7">
        <f>$B8 * IFERROR(VLOOKUP("LULUCF|SO2|Asthma symptoms wheeze", US_national_yearly!$D:$AM, 14, FALSE) / VLOOKUP("LULUCF|SO2|Asthma symptoms wheeze", US_national_yearly!$D:$AM, 10, FALSE), 1)</f>
        <v>4.5504245721039846E-4</v>
      </c>
      <c r="G8" s="7">
        <f>$B8 * IFERROR(VLOOKUP("LULUCF|SO2|Asthma symptoms wheeze", US_national_yearly!$D:$AM, 15, FALSE) / VLOOKUP("LULUCF|SO2|Asthma symptoms wheeze", US_national_yearly!$D:$AM, 10, FALSE), 1)</f>
        <v>4.5504245721039846E-4</v>
      </c>
      <c r="H8" s="7">
        <f>$B8 * IFERROR(VLOOKUP("LULUCF|SO2|Asthma symptoms wheeze", US_national_yearly!$D:$AM, 16, FALSE) / VLOOKUP("LULUCF|SO2|Asthma symptoms wheeze", US_national_yearly!$D:$AM, 10, FALSE), 1)</f>
        <v>4.5504245721039846E-4</v>
      </c>
      <c r="I8" s="7">
        <f>$B8 * IFERROR(VLOOKUP("LULUCF|SO2|Asthma symptoms wheeze", US_national_yearly!$D:$AM, 17, FALSE) / VLOOKUP("LULUCF|SO2|Asthma symptoms wheeze", US_national_yearly!$D:$AM, 10, FALSE), 1)</f>
        <v>4.5504245721039846E-4</v>
      </c>
      <c r="J8" s="7">
        <f>$B8 * IFERROR(VLOOKUP("LULUCF|SO2|Asthma symptoms wheeze", US_national_yearly!$D:$AM, 18, FALSE) / VLOOKUP("LULUCF|SO2|Asthma symptoms wheeze", US_national_yearly!$D:$AM, 10, FALSE), 1)</f>
        <v>4.5504245721039846E-4</v>
      </c>
      <c r="K8" s="7">
        <f>$B8 * IFERROR(VLOOKUP("LULUCF|SO2|Asthma symptoms wheeze", US_national_yearly!$D:$AM, 19, FALSE) / VLOOKUP("LULUCF|SO2|Asthma symptoms wheeze", US_national_yearly!$D:$AM, 10, FALSE), 1)</f>
        <v>4.5504245721039846E-4</v>
      </c>
      <c r="L8" s="7">
        <f>$B8 * IFERROR(VLOOKUP("LULUCF|SO2|Asthma symptoms wheeze", US_national_yearly!$D:$AM, 20, FALSE) / VLOOKUP("LULUCF|SO2|Asthma symptoms wheeze", US_national_yearly!$D:$AM, 10, FALSE), 1)</f>
        <v>4.5504245721039846E-4</v>
      </c>
      <c r="M8" s="7">
        <f>$B8 * IFERROR(VLOOKUP("LULUCF|SO2|Asthma symptoms wheeze", US_national_yearly!$D:$AM, 21, FALSE) / VLOOKUP("LULUCF|SO2|Asthma symptoms wheeze", US_national_yearly!$D:$AM, 10, FALSE), 1)</f>
        <v>4.5504245721039846E-4</v>
      </c>
      <c r="N8" s="7">
        <f>$B8 * IFERROR(VLOOKUP("LULUCF|SO2|Asthma symptoms wheeze", US_national_yearly!$D:$AM, 22, FALSE) / VLOOKUP("LULUCF|SO2|Asthma symptoms wheeze", US_national_yearly!$D:$AM, 10, FALSE), 1)</f>
        <v>4.5504245721039846E-4</v>
      </c>
      <c r="O8" s="7">
        <f>$B8 * IFERROR(VLOOKUP("LULUCF|SO2|Asthma symptoms wheeze", US_national_yearly!$D:$AM, 23, FALSE) / VLOOKUP("LULUCF|SO2|Asthma symptoms wheeze", US_national_yearly!$D:$AM, 10, FALSE), 1)</f>
        <v>4.5504245721039846E-4</v>
      </c>
      <c r="P8" s="7">
        <f>$B8 * IFERROR(VLOOKUP("LULUCF|SO2|Asthma symptoms wheeze", US_national_yearly!$D:$AM, 24, FALSE) / VLOOKUP("LULUCF|SO2|Asthma symptoms wheeze", US_national_yearly!$D:$AM, 10, FALSE), 1)</f>
        <v>4.5504245721039846E-4</v>
      </c>
      <c r="Q8" s="7">
        <f>$B8 * IFERROR(VLOOKUP("LULUCF|SO2|Asthma symptoms wheeze", US_national_yearly!$D:$AM, 25, FALSE) / VLOOKUP("LULUCF|SO2|Asthma symptoms wheeze", US_national_yearly!$D:$AM, 10, FALSE), 1)</f>
        <v>4.5504245721039846E-4</v>
      </c>
      <c r="R8" s="7">
        <f>$B8 * IFERROR(VLOOKUP("LULUCF|SO2|Asthma symptoms wheeze", US_national_yearly!$D:$AM, 26, FALSE) / VLOOKUP("LULUCF|SO2|Asthma symptoms wheeze", US_national_yearly!$D:$AM, 10, FALSE), 1)</f>
        <v>4.5504245721039846E-4</v>
      </c>
      <c r="S8" s="7">
        <f>$B8 * IFERROR(VLOOKUP("LULUCF|SO2|Asthma symptoms wheeze", US_national_yearly!$D:$AM, 27, FALSE) / VLOOKUP("LULUCF|SO2|Asthma symptoms wheeze", US_national_yearly!$D:$AM, 10, FALSE), 1)</f>
        <v>4.5504245721039846E-4</v>
      </c>
      <c r="T8" s="7">
        <f>$B8 * IFERROR(VLOOKUP("LULUCF|SO2|Asthma symptoms wheeze", US_national_yearly!$D:$AM, 28, FALSE) / VLOOKUP("LULUCF|SO2|Asthma symptoms wheeze", US_national_yearly!$D:$AM, 10, FALSE), 1)</f>
        <v>4.5504245721039846E-4</v>
      </c>
      <c r="U8" s="7">
        <f>$B8 * IFERROR(VLOOKUP("LULUCF|SO2|Asthma symptoms wheeze", US_national_yearly!$D:$AM, 29, FALSE) / VLOOKUP("LULUCF|SO2|Asthma symptoms wheeze", US_national_yearly!$D:$AM, 10, FALSE), 1)</f>
        <v>4.5504245721039846E-4</v>
      </c>
      <c r="V8" s="7">
        <f>$B8 * IFERROR(VLOOKUP("LULUCF|SO2|Asthma symptoms wheeze", US_national_yearly!$D:$AM, 30, FALSE) / VLOOKUP("LULUCF|SO2|Asthma symptoms wheeze", US_national_yearly!$D:$AM, 10, FALSE), 1)</f>
        <v>4.5504245721039846E-4</v>
      </c>
      <c r="W8" s="7">
        <f>$B8 * IFERROR(VLOOKUP("LULUCF|SO2|Asthma symptoms wheeze", US_national_yearly!$D:$AM, 31, FALSE) / VLOOKUP("LULUCF|SO2|Asthma symptoms wheeze", US_national_yearly!$D:$AM, 10, FALSE), 1)</f>
        <v>4.5504245721039846E-4</v>
      </c>
      <c r="X8" s="7">
        <f>$B8 * IFERROR(VLOOKUP("LULUCF|SO2|Asthma symptoms wheeze", US_national_yearly!$D:$AM, 32, FALSE) / VLOOKUP("LULUCF|SO2|Asthma symptoms wheeze", US_national_yearly!$D:$AM, 10, FALSE), 1)</f>
        <v>4.5504245721039846E-4</v>
      </c>
      <c r="Y8" s="7">
        <f>$B8 * IFERROR(VLOOKUP("LULUCF|SO2|Asthma symptoms wheeze", US_national_yearly!$D:$AM, 33, FALSE) / VLOOKUP("LULUCF|SO2|Asthma symptoms wheeze", US_national_yearly!$D:$AM, 10, FALSE), 1)</f>
        <v>4.5504245721039846E-4</v>
      </c>
      <c r="Z8" s="7">
        <f>$B8 * IFERROR(VLOOKUP("LULUCF|SO2|Asthma symptoms wheeze", US_national_yearly!$D:$AM, 34, FALSE) / VLOOKUP("LULUCF|SO2|Asthma symptoms wheeze", US_national_yearly!$D:$AM, 10, FALSE), 1)</f>
        <v>4.5504245721039846E-4</v>
      </c>
      <c r="AA8" s="7">
        <f>$B8 * IFERROR(VLOOKUP("LULUCF|SO2|Asthma symptoms wheeze", US_national_yearly!$D:$AM, 35, FALSE) / VLOOKUP("LULUCF|SO2|Asthma symptoms wheeze", US_national_yearly!$D:$AM, 10, FALSE), 1)</f>
        <v>4.5504245721039846E-4</v>
      </c>
      <c r="AB8" s="7">
        <f>$B8 * IFERROR(VLOOKUP("LULUCF|SO2|Asthma symptoms wheeze", US_national_yearly!$D:$AM, 36, FALSE) / VLOOKUP("LULUCF|SO2|Asthma symptoms wheeze", US_national_yearly!$D:$AM, 10, FALSE), 1)</f>
        <v>4.5504245721039846E-4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4.3317817250383226E-6</v>
      </c>
      <c r="C12" s="7">
        <f>$B12 * IFERROR(VLOOKUP("LULUCF|SO2|Respiratory hospital admissions", US_national_yearly!$D:$AM, 11, FALSE) / VLOOKUP("LULUCF|SO2|Respiratory hospital admissions", US_national_yearly!$D:$AM, 10, FALSE), 1)</f>
        <v>4.3573307889200557E-6</v>
      </c>
      <c r="D12" s="7">
        <f>$B12 * IFERROR(VLOOKUP("LULUCF|SO2|Respiratory hospital admissions", US_national_yearly!$D:$AM, 12, FALSE) / VLOOKUP("LULUCF|SO2|Respiratory hospital admissions", US_national_yearly!$D:$AM, 10, FALSE), 1)</f>
        <v>4.3828798528017897E-6</v>
      </c>
      <c r="E12" s="7">
        <f>$B12 * IFERROR(VLOOKUP("LULUCF|SO2|Respiratory hospital admissions", US_national_yearly!$D:$AM, 13, FALSE) / VLOOKUP("LULUCF|SO2|Respiratory hospital admissions", US_national_yearly!$D:$AM, 10, FALSE), 1)</f>
        <v>4.4084289166835228E-6</v>
      </c>
      <c r="F12" s="7">
        <f>$B12 * IFERROR(VLOOKUP("LULUCF|SO2|Respiratory hospital admissions", US_national_yearly!$D:$AM, 14, FALSE) / VLOOKUP("LULUCF|SO2|Respiratory hospital admissions", US_national_yearly!$D:$AM, 10, FALSE), 1)</f>
        <v>4.433977980565256E-6</v>
      </c>
      <c r="G12" s="7">
        <f>$B12 * IFERROR(VLOOKUP("LULUCF|SO2|Respiratory hospital admissions", US_national_yearly!$D:$AM, 15, FALSE) / VLOOKUP("LULUCF|SO2|Respiratory hospital admissions", US_national_yearly!$D:$AM, 10, FALSE), 1)</f>
        <v>4.4618307695823651E-6</v>
      </c>
      <c r="H12" s="7">
        <f>$B12 * IFERROR(VLOOKUP("LULUCF|SO2|Respiratory hospital admissions", US_national_yearly!$D:$AM, 16, FALSE) / VLOOKUP("LULUCF|SO2|Respiratory hospital admissions", US_national_yearly!$D:$AM, 10, FALSE), 1)</f>
        <v>4.4896835585994743E-6</v>
      </c>
      <c r="I12" s="7">
        <f>$B12 * IFERROR(VLOOKUP("LULUCF|SO2|Respiratory hospital admissions", US_national_yearly!$D:$AM, 17, FALSE) / VLOOKUP("LULUCF|SO2|Respiratory hospital admissions", US_national_yearly!$D:$AM, 10, FALSE), 1)</f>
        <v>4.517149724838449E-6</v>
      </c>
      <c r="J12" s="7">
        <f>$B12 * IFERROR(VLOOKUP("LULUCF|SO2|Respiratory hospital admissions", US_national_yearly!$D:$AM, 18, FALSE) / VLOOKUP("LULUCF|SO2|Respiratory hospital admissions", US_national_yearly!$D:$AM, 10, FALSE), 1)</f>
        <v>4.5446158910774254E-6</v>
      </c>
      <c r="K12" s="7">
        <f>$B12 * IFERROR(VLOOKUP("LULUCF|SO2|Respiratory hospital admissions", US_national_yearly!$D:$AM, 19, FALSE) / VLOOKUP("LULUCF|SO2|Respiratory hospital admissions", US_national_yearly!$D:$AM, 10, FALSE), 1)</f>
        <v>4.5720820573163993E-6</v>
      </c>
      <c r="L12" s="7">
        <f>$B12 * IFERROR(VLOOKUP("LULUCF|SO2|Respiratory hospital admissions", US_national_yearly!$D:$AM, 20, FALSE) / VLOOKUP("LULUCF|SO2|Respiratory hospital admissions", US_national_yearly!$D:$AM, 10, FALSE), 1)</f>
        <v>4.5995482235553757E-6</v>
      </c>
      <c r="M12" s="7">
        <f>$B12 * IFERROR(VLOOKUP("LULUCF|SO2|Respiratory hospital admissions", US_national_yearly!$D:$AM, 21, FALSE) / VLOOKUP("LULUCF|SO2|Respiratory hospital admissions", US_national_yearly!$D:$AM, 10, FALSE), 1)</f>
        <v>4.6270143897943504E-6</v>
      </c>
      <c r="N12" s="7">
        <f>$B12 * IFERROR(VLOOKUP("LULUCF|SO2|Respiratory hospital admissions", US_national_yearly!$D:$AM, 22, FALSE) / VLOOKUP("LULUCF|SO2|Respiratory hospital admissions", US_national_yearly!$D:$AM, 10, FALSE), 1)</f>
        <v>4.6470638433067676E-6</v>
      </c>
      <c r="O12" s="7">
        <f>$B12 * IFERROR(VLOOKUP("LULUCF|SO2|Respiratory hospital admissions", US_national_yearly!$D:$AM, 23, FALSE) / VLOOKUP("LULUCF|SO2|Respiratory hospital admissions", US_national_yearly!$D:$AM, 10, FALSE), 1)</f>
        <v>4.6671132968191839E-6</v>
      </c>
      <c r="P12" s="7">
        <f>$B12 * IFERROR(VLOOKUP("LULUCF|SO2|Respiratory hospital admissions", US_national_yearly!$D:$AM, 24, FALSE) / VLOOKUP("LULUCF|SO2|Respiratory hospital admissions", US_national_yearly!$D:$AM, 10, FALSE), 1)</f>
        <v>4.6871627503316002E-6</v>
      </c>
      <c r="Q12" s="7">
        <f>$B12 * IFERROR(VLOOKUP("LULUCF|SO2|Respiratory hospital admissions", US_national_yearly!$D:$AM, 25, FALSE) / VLOOKUP("LULUCF|SO2|Respiratory hospital admissions", US_national_yearly!$D:$AM, 10, FALSE), 1)</f>
        <v>4.7072122038440174E-6</v>
      </c>
      <c r="R12" s="7">
        <f>$B12 * IFERROR(VLOOKUP("LULUCF|SO2|Respiratory hospital admissions", US_national_yearly!$D:$AM, 26, FALSE) / VLOOKUP("LULUCF|SO2|Respiratory hospital admissions", US_national_yearly!$D:$AM, 10, FALSE), 1)</f>
        <v>4.7272616573564338E-6</v>
      </c>
      <c r="S12" s="7">
        <f>$B12 * IFERROR(VLOOKUP("LULUCF|SO2|Respiratory hospital admissions", US_national_yearly!$D:$AM, 27, FALSE) / VLOOKUP("LULUCF|SO2|Respiratory hospital admissions", US_national_yearly!$D:$AM, 10, FALSE), 1)</f>
        <v>4.746387306190808E-6</v>
      </c>
      <c r="T12" s="7">
        <f>$B12 * IFERROR(VLOOKUP("LULUCF|SO2|Respiratory hospital admissions", US_national_yearly!$D:$AM, 28, FALSE) / VLOOKUP("LULUCF|SO2|Respiratory hospital admissions", US_national_yearly!$D:$AM, 10, FALSE), 1)</f>
        <v>4.7655129550251815E-6</v>
      </c>
      <c r="U12" s="7">
        <f>$B12 * IFERROR(VLOOKUP("LULUCF|SO2|Respiratory hospital admissions", US_national_yearly!$D:$AM, 29, FALSE) / VLOOKUP("LULUCF|SO2|Respiratory hospital admissions", US_national_yearly!$D:$AM, 10, FALSE), 1)</f>
        <v>4.7846386038595558E-6</v>
      </c>
      <c r="V12" s="7">
        <f>$B12 * IFERROR(VLOOKUP("LULUCF|SO2|Respiratory hospital admissions", US_national_yearly!$D:$AM, 30, FALSE) / VLOOKUP("LULUCF|SO2|Respiratory hospital admissions", US_national_yearly!$D:$AM, 10, FALSE), 1)</f>
        <v>4.8037642526939309E-6</v>
      </c>
      <c r="W12" s="7">
        <f>$B12 * IFERROR(VLOOKUP("LULUCF|SO2|Respiratory hospital admissions", US_national_yearly!$D:$AM, 31, FALSE) / VLOOKUP("LULUCF|SO2|Respiratory hospital admissions", US_national_yearly!$D:$AM, 10, FALSE), 1)</f>
        <v>4.8228899015283052E-6</v>
      </c>
      <c r="X12" s="7">
        <f>$B12 * IFERROR(VLOOKUP("LULUCF|SO2|Respiratory hospital admissions", US_national_yearly!$D:$AM, 32, FALSE) / VLOOKUP("LULUCF|SO2|Respiratory hospital admissions", US_national_yearly!$D:$AM, 10, FALSE), 1)</f>
        <v>4.8410370022137505E-6</v>
      </c>
      <c r="Y12" s="7">
        <f>$B12 * IFERROR(VLOOKUP("LULUCF|SO2|Respiratory hospital admissions", US_national_yearly!$D:$AM, 33, FALSE) / VLOOKUP("LULUCF|SO2|Respiratory hospital admissions", US_national_yearly!$D:$AM, 10, FALSE), 1)</f>
        <v>4.8591841028991959E-6</v>
      </c>
      <c r="Z12" s="7">
        <f>$B12 * IFERROR(VLOOKUP("LULUCF|SO2|Respiratory hospital admissions", US_national_yearly!$D:$AM, 34, FALSE) / VLOOKUP("LULUCF|SO2|Respiratory hospital admissions", US_national_yearly!$D:$AM, 10, FALSE), 1)</f>
        <v>4.8773312035846413E-6</v>
      </c>
      <c r="AA12" s="7">
        <f>$B12 * IFERROR(VLOOKUP("LULUCF|SO2|Respiratory hospital admissions", US_national_yearly!$D:$AM, 35, FALSE) / VLOOKUP("LULUCF|SO2|Respiratory hospital admissions", US_national_yearly!$D:$AM, 10, FALSE), 1)</f>
        <v>4.8954783042700875E-6</v>
      </c>
      <c r="AB12" s="7">
        <f>$B12 * IFERROR(VLOOKUP("LULUCF|SO2|Respiratory hospital admissions", US_national_yearly!$D:$AM, 36, FALSE) / VLOOKUP("LULUCF|SO2|Respiratory hospital admissions", US_national_yearly!$D:$AM, 10, FALSE), 1)</f>
        <v>4.9136254049555337E-6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6.4799945188299437E-6</v>
      </c>
      <c r="C13" s="7">
        <f>$B13 * IFERROR(VLOOKUP("LULUCF|SO2|Non-fatal heart attacks", US_national_yearly!$D:$AM, 11, FALSE) / VLOOKUP("LULUCF|SO2|Non-fatal heart attacks", US_national_yearly!$D:$AM, 10, FALSE), 1)</f>
        <v>6.6702236212721671E-6</v>
      </c>
      <c r="D13" s="7">
        <f>$B13 * IFERROR(VLOOKUP("LULUCF|SO2|Non-fatal heart attacks", US_national_yearly!$D:$AM, 12, FALSE) / VLOOKUP("LULUCF|SO2|Non-fatal heart attacks", US_national_yearly!$D:$AM, 10, FALSE), 1)</f>
        <v>6.8604527237143896E-6</v>
      </c>
      <c r="E13" s="7">
        <f>$B13 * IFERROR(VLOOKUP("LULUCF|SO2|Non-fatal heart attacks", US_national_yearly!$D:$AM, 13, FALSE) / VLOOKUP("LULUCF|SO2|Non-fatal heart attacks", US_national_yearly!$D:$AM, 10, FALSE), 1)</f>
        <v>7.050681826156613E-6</v>
      </c>
      <c r="F13" s="7">
        <f>$B13 * IFERROR(VLOOKUP("LULUCF|SO2|Non-fatal heart attacks", US_national_yearly!$D:$AM, 14, FALSE) / VLOOKUP("LULUCF|SO2|Non-fatal heart attacks", US_national_yearly!$D:$AM, 10, FALSE), 1)</f>
        <v>7.2409109285988348E-6</v>
      </c>
      <c r="G13" s="7">
        <f>$B13 * IFERROR(VLOOKUP("LULUCF|SO2|Non-fatal heart attacks", US_national_yearly!$D:$AM, 15, FALSE) / VLOOKUP("LULUCF|SO2|Non-fatal heart attacks", US_national_yearly!$D:$AM, 10, FALSE), 1)</f>
        <v>7.4203146170290226E-6</v>
      </c>
      <c r="H13" s="7">
        <f>$B13 * IFERROR(VLOOKUP("LULUCF|SO2|Non-fatal heart attacks", US_national_yearly!$D:$AM, 16, FALSE) / VLOOKUP("LULUCF|SO2|Non-fatal heart attacks", US_national_yearly!$D:$AM, 10, FALSE), 1)</f>
        <v>7.5997183054592105E-6</v>
      </c>
      <c r="I13" s="7">
        <f>$B13 * IFERROR(VLOOKUP("LULUCF|SO2|Non-fatal heart attacks", US_national_yearly!$D:$AM, 17, FALSE) / VLOOKUP("LULUCF|SO2|Non-fatal heart attacks", US_national_yearly!$D:$AM, 10, FALSE), 1)</f>
        <v>7.7440820341902562E-6</v>
      </c>
      <c r="J13" s="7">
        <f>$B13 * IFERROR(VLOOKUP("LULUCF|SO2|Non-fatal heart attacks", US_national_yearly!$D:$AM, 18, FALSE) / VLOOKUP("LULUCF|SO2|Non-fatal heart attacks", US_national_yearly!$D:$AM, 10, FALSE), 1)</f>
        <v>7.888445762921302E-6</v>
      </c>
      <c r="K13" s="7">
        <f>$B13 * IFERROR(VLOOKUP("LULUCF|SO2|Non-fatal heart attacks", US_national_yearly!$D:$AM, 19, FALSE) / VLOOKUP("LULUCF|SO2|Non-fatal heart attacks", US_national_yearly!$D:$AM, 10, FALSE), 1)</f>
        <v>8.0328094916523477E-6</v>
      </c>
      <c r="L13" s="7">
        <f>$B13 * IFERROR(VLOOKUP("LULUCF|SO2|Non-fatal heart attacks", US_national_yearly!$D:$AM, 20, FALSE) / VLOOKUP("LULUCF|SO2|Non-fatal heart attacks", US_national_yearly!$D:$AM, 10, FALSE), 1)</f>
        <v>8.1771732203833952E-6</v>
      </c>
      <c r="M13" s="7">
        <f>$B13 * IFERROR(VLOOKUP("LULUCF|SO2|Non-fatal heart attacks", US_national_yearly!$D:$AM, 21, FALSE) / VLOOKUP("LULUCF|SO2|Non-fatal heart attacks", US_national_yearly!$D:$AM, 10, FALSE), 1)</f>
        <v>8.3215369491144426E-6</v>
      </c>
      <c r="N13" s="7">
        <f>$B13 * IFERROR(VLOOKUP("LULUCF|SO2|Non-fatal heart attacks", US_national_yearly!$D:$AM, 22, FALSE) / VLOOKUP("LULUCF|SO2|Non-fatal heart attacks", US_national_yearly!$D:$AM, 10, FALSE), 1)</f>
        <v>8.4152740623247565E-6</v>
      </c>
      <c r="O13" s="7">
        <f>$B13 * IFERROR(VLOOKUP("LULUCF|SO2|Non-fatal heart attacks", US_national_yearly!$D:$AM, 23, FALSE) / VLOOKUP("LULUCF|SO2|Non-fatal heart attacks", US_national_yearly!$D:$AM, 10, FALSE), 1)</f>
        <v>8.5090111755350738E-6</v>
      </c>
      <c r="P13" s="7">
        <f>$B13 * IFERROR(VLOOKUP("LULUCF|SO2|Non-fatal heart attacks", US_national_yearly!$D:$AM, 24, FALSE) / VLOOKUP("LULUCF|SO2|Non-fatal heart attacks", US_national_yearly!$D:$AM, 10, FALSE), 1)</f>
        <v>8.6027482887453912E-6</v>
      </c>
      <c r="Q13" s="7">
        <f>$B13 * IFERROR(VLOOKUP("LULUCF|SO2|Non-fatal heart attacks", US_national_yearly!$D:$AM, 25, FALSE) / VLOOKUP("LULUCF|SO2|Non-fatal heart attacks", US_national_yearly!$D:$AM, 10, FALSE), 1)</f>
        <v>8.6964854019557068E-6</v>
      </c>
      <c r="R13" s="7">
        <f>$B13 * IFERROR(VLOOKUP("LULUCF|SO2|Non-fatal heart attacks", US_national_yearly!$D:$AM, 26, FALSE) / VLOOKUP("LULUCF|SO2|Non-fatal heart attacks", US_national_yearly!$D:$AM, 10, FALSE), 1)</f>
        <v>8.7902225151660224E-6</v>
      </c>
      <c r="S13" s="7">
        <f>$B13 * IFERROR(VLOOKUP("LULUCF|SO2|Non-fatal heart attacks", US_national_yearly!$D:$AM, 27, FALSE) / VLOOKUP("LULUCF|SO2|Non-fatal heart attacks", US_national_yearly!$D:$AM, 10, FALSE), 1)</f>
        <v>8.8391621347216417E-6</v>
      </c>
      <c r="T13" s="7">
        <f>$B13 * IFERROR(VLOOKUP("LULUCF|SO2|Non-fatal heart attacks", US_national_yearly!$D:$AM, 28, FALSE) / VLOOKUP("LULUCF|SO2|Non-fatal heart attacks", US_national_yearly!$D:$AM, 10, FALSE), 1)</f>
        <v>8.8881017542772609E-6</v>
      </c>
      <c r="U13" s="7">
        <f>$B13 * IFERROR(VLOOKUP("LULUCF|SO2|Non-fatal heart attacks", US_national_yearly!$D:$AM, 29, FALSE) / VLOOKUP("LULUCF|SO2|Non-fatal heart attacks", US_national_yearly!$D:$AM, 10, FALSE), 1)</f>
        <v>8.9370413738328784E-6</v>
      </c>
      <c r="V13" s="7">
        <f>$B13 * IFERROR(VLOOKUP("LULUCF|SO2|Non-fatal heart attacks", US_national_yearly!$D:$AM, 30, FALSE) / VLOOKUP("LULUCF|SO2|Non-fatal heart attacks", US_national_yearly!$D:$AM, 10, FALSE), 1)</f>
        <v>8.9859809933884959E-6</v>
      </c>
      <c r="W13" s="7">
        <f>$B13 * IFERROR(VLOOKUP("LULUCF|SO2|Non-fatal heart attacks", US_national_yearly!$D:$AM, 31, FALSE) / VLOOKUP("LULUCF|SO2|Non-fatal heart attacks", US_national_yearly!$D:$AM, 10, FALSE), 1)</f>
        <v>9.0349206129441151E-6</v>
      </c>
      <c r="X13" s="7">
        <f>$B13 * IFERROR(VLOOKUP("LULUCF|SO2|Non-fatal heart attacks", US_national_yearly!$D:$AM, 32, FALSE) / VLOOKUP("LULUCF|SO2|Non-fatal heart attacks", US_national_yearly!$D:$AM, 10, FALSE), 1)</f>
        <v>9.0718657447716095E-6</v>
      </c>
      <c r="Y13" s="7">
        <f>$B13 * IFERROR(VLOOKUP("LULUCF|SO2|Non-fatal heart attacks", US_national_yearly!$D:$AM, 33, FALSE) / VLOOKUP("LULUCF|SO2|Non-fatal heart attacks", US_national_yearly!$D:$AM, 10, FALSE), 1)</f>
        <v>9.1088108765991039E-6</v>
      </c>
      <c r="Z13" s="7">
        <f>$B13 * IFERROR(VLOOKUP("LULUCF|SO2|Non-fatal heart attacks", US_national_yearly!$D:$AM, 34, FALSE) / VLOOKUP("LULUCF|SO2|Non-fatal heart attacks", US_national_yearly!$D:$AM, 10, FALSE), 1)</f>
        <v>9.1457560084265965E-6</v>
      </c>
      <c r="AA13" s="7">
        <f>$B13 * IFERROR(VLOOKUP("LULUCF|SO2|Non-fatal heart attacks", US_national_yearly!$D:$AM, 35, FALSE) / VLOOKUP("LULUCF|SO2|Non-fatal heart attacks", US_national_yearly!$D:$AM, 10, FALSE), 1)</f>
        <v>9.1827011402540909E-6</v>
      </c>
      <c r="AB13" s="7">
        <f>$B13 * IFERROR(VLOOKUP("LULUCF|SO2|Non-fatal heart attacks", US_national_yearly!$D:$AM, 36, FALSE) / VLOOKUP("LULUCF|SO2|Non-fatal heart attacks", US_national_yearly!$D:$AM, 10, FALSE), 1)</f>
        <v>9.2196462720815853E-6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2.7216300746283797E-2</v>
      </c>
      <c r="C14" s="7">
        <f>$B14 * IFERROR(VLOOKUP("LULUCF|SO2|Minor restricted activity days", US_national_yearly!$D:$AM, 11, FALSE) / VLOOKUP("LULUCF|SO2|Minor restricted activity days", US_national_yearly!$D:$AM, 10, FALSE), 1)</f>
        <v>2.7284903972202727E-2</v>
      </c>
      <c r="D14" s="7">
        <f>$B14 * IFERROR(VLOOKUP("LULUCF|SO2|Minor restricted activity days", US_national_yearly!$D:$AM, 12, FALSE) / VLOOKUP("LULUCF|SO2|Minor restricted activity days", US_national_yearly!$D:$AM, 10, FALSE), 1)</f>
        <v>2.735350719812165E-2</v>
      </c>
      <c r="E14" s="7">
        <f>$B14 * IFERROR(VLOOKUP("LULUCF|SO2|Minor restricted activity days", US_national_yearly!$D:$AM, 13, FALSE) / VLOOKUP("LULUCF|SO2|Minor restricted activity days", US_national_yearly!$D:$AM, 10, FALSE), 1)</f>
        <v>2.7422110424040576E-2</v>
      </c>
      <c r="F14" s="7">
        <f>$B14 * IFERROR(VLOOKUP("LULUCF|SO2|Minor restricted activity days", US_national_yearly!$D:$AM, 14, FALSE) / VLOOKUP("LULUCF|SO2|Minor restricted activity days", US_national_yearly!$D:$AM, 10, FALSE), 1)</f>
        <v>2.7490713649959499E-2</v>
      </c>
      <c r="G14" s="7">
        <f>$B14 * IFERROR(VLOOKUP("LULUCF|SO2|Minor restricted activity days", US_national_yearly!$D:$AM, 15, FALSE) / VLOOKUP("LULUCF|SO2|Minor restricted activity days", US_national_yearly!$D:$AM, 10, FALSE), 1)</f>
        <v>2.7591690858893611E-2</v>
      </c>
      <c r="H14" s="7">
        <f>$B14 * IFERROR(VLOOKUP("LULUCF|SO2|Minor restricted activity days", US_national_yearly!$D:$AM, 16, FALSE) / VLOOKUP("LULUCF|SO2|Minor restricted activity days", US_national_yearly!$D:$AM, 10, FALSE), 1)</f>
        <v>2.7692668067827723E-2</v>
      </c>
      <c r="I14" s="7">
        <f>$B14 * IFERROR(VLOOKUP("LULUCF|SO2|Minor restricted activity days", US_national_yearly!$D:$AM, 17, FALSE) / VLOOKUP("LULUCF|SO2|Minor restricted activity days", US_national_yearly!$D:$AM, 10, FALSE), 1)</f>
        <v>2.7864875285486215E-2</v>
      </c>
      <c r="J14" s="7">
        <f>$B14 * IFERROR(VLOOKUP("LULUCF|SO2|Minor restricted activity days", US_national_yearly!$D:$AM, 18, FALSE) / VLOOKUP("LULUCF|SO2|Minor restricted activity days", US_national_yearly!$D:$AM, 10, FALSE), 1)</f>
        <v>2.8037082503144704E-2</v>
      </c>
      <c r="K14" s="7">
        <f>$B14 * IFERROR(VLOOKUP("LULUCF|SO2|Minor restricted activity days", US_national_yearly!$D:$AM, 19, FALSE) / VLOOKUP("LULUCF|SO2|Minor restricted activity days", US_national_yearly!$D:$AM, 10, FALSE), 1)</f>
        <v>2.8209289720803204E-2</v>
      </c>
      <c r="L14" s="7">
        <f>$B14 * IFERROR(VLOOKUP("LULUCF|SO2|Minor restricted activity days", US_national_yearly!$D:$AM, 20, FALSE) / VLOOKUP("LULUCF|SO2|Minor restricted activity days", US_national_yearly!$D:$AM, 10, FALSE), 1)</f>
        <v>2.8381496938461693E-2</v>
      </c>
      <c r="M14" s="7">
        <f>$B14 * IFERROR(VLOOKUP("LULUCF|SO2|Minor restricted activity days", US_national_yearly!$D:$AM, 21, FALSE) / VLOOKUP("LULUCF|SO2|Minor restricted activity days", US_national_yearly!$D:$AM, 10, FALSE), 1)</f>
        <v>2.8553704156120185E-2</v>
      </c>
      <c r="N14" s="7">
        <f>$B14 * IFERROR(VLOOKUP("LULUCF|SO2|Minor restricted activity days", US_national_yearly!$D:$AM, 22, FALSE) / VLOOKUP("LULUCF|SO2|Minor restricted activity days", US_national_yearly!$D:$AM, 10, FALSE), 1)</f>
        <v>2.8789255997682783E-2</v>
      </c>
      <c r="O14" s="7">
        <f>$B14 * IFERROR(VLOOKUP("LULUCF|SO2|Minor restricted activity days", US_national_yearly!$D:$AM, 23, FALSE) / VLOOKUP("LULUCF|SO2|Minor restricted activity days", US_national_yearly!$D:$AM, 10, FALSE), 1)</f>
        <v>2.9024807839245381E-2</v>
      </c>
      <c r="P14" s="7">
        <f>$B14 * IFERROR(VLOOKUP("LULUCF|SO2|Minor restricted activity days", US_national_yearly!$D:$AM, 24, FALSE) / VLOOKUP("LULUCF|SO2|Minor restricted activity days", US_national_yearly!$D:$AM, 10, FALSE), 1)</f>
        <v>2.9260359680807979E-2</v>
      </c>
      <c r="Q14" s="7">
        <f>$B14 * IFERROR(VLOOKUP("LULUCF|SO2|Minor restricted activity days", US_national_yearly!$D:$AM, 25, FALSE) / VLOOKUP("LULUCF|SO2|Minor restricted activity days", US_national_yearly!$D:$AM, 10, FALSE), 1)</f>
        <v>2.949591152237058E-2</v>
      </c>
      <c r="R14" s="7">
        <f>$B14 * IFERROR(VLOOKUP("LULUCF|SO2|Minor restricted activity days", US_national_yearly!$D:$AM, 26, FALSE) / VLOOKUP("LULUCF|SO2|Minor restricted activity days", US_national_yearly!$D:$AM, 10, FALSE), 1)</f>
        <v>2.9731463363933178E-2</v>
      </c>
      <c r="S14" s="7">
        <f>$B14 * IFERROR(VLOOKUP("LULUCF|SO2|Minor restricted activity days", US_national_yearly!$D:$AM, 27, FALSE) / VLOOKUP("LULUCF|SO2|Minor restricted activity days", US_national_yearly!$D:$AM, 10, FALSE), 1)</f>
        <v>2.9971631520789493E-2</v>
      </c>
      <c r="T14" s="7">
        <f>$B14 * IFERROR(VLOOKUP("LULUCF|SO2|Minor restricted activity days", US_national_yearly!$D:$AM, 28, FALSE) / VLOOKUP("LULUCF|SO2|Minor restricted activity days", US_national_yearly!$D:$AM, 10, FALSE), 1)</f>
        <v>3.0211799677645809E-2</v>
      </c>
      <c r="U14" s="7">
        <f>$B14 * IFERROR(VLOOKUP("LULUCF|SO2|Minor restricted activity days", US_national_yearly!$D:$AM, 29, FALSE) / VLOOKUP("LULUCF|SO2|Minor restricted activity days", US_national_yearly!$D:$AM, 10, FALSE), 1)</f>
        <v>3.0451967834502124E-2</v>
      </c>
      <c r="V14" s="7">
        <f>$B14 * IFERROR(VLOOKUP("LULUCF|SO2|Minor restricted activity days", US_national_yearly!$D:$AM, 30, FALSE) / VLOOKUP("LULUCF|SO2|Minor restricted activity days", US_national_yearly!$D:$AM, 10, FALSE), 1)</f>
        <v>3.0692135991358439E-2</v>
      </c>
      <c r="W14" s="7">
        <f>$B14 * IFERROR(VLOOKUP("LULUCF|SO2|Minor restricted activity days", US_national_yearly!$D:$AM, 31, FALSE) / VLOOKUP("LULUCF|SO2|Minor restricted activity days", US_national_yearly!$D:$AM, 10, FALSE), 1)</f>
        <v>3.0932304148214761E-2</v>
      </c>
      <c r="X14" s="7">
        <f>$B14 * IFERROR(VLOOKUP("LULUCF|SO2|Minor restricted activity days", US_national_yearly!$D:$AM, 32, FALSE) / VLOOKUP("LULUCF|SO2|Minor restricted activity days", US_national_yearly!$D:$AM, 10, FALSE), 1)</f>
        <v>3.114351290345373E-2</v>
      </c>
      <c r="Y14" s="7">
        <f>$B14 * IFERROR(VLOOKUP("LULUCF|SO2|Minor restricted activity days", US_national_yearly!$D:$AM, 33, FALSE) / VLOOKUP("LULUCF|SO2|Minor restricted activity days", US_national_yearly!$D:$AM, 10, FALSE), 1)</f>
        <v>3.13547216586927E-2</v>
      </c>
      <c r="Z14" s="7">
        <f>$B14 * IFERROR(VLOOKUP("LULUCF|SO2|Minor restricted activity days", US_national_yearly!$D:$AM, 34, FALSE) / VLOOKUP("LULUCF|SO2|Minor restricted activity days", US_national_yearly!$D:$AM, 10, FALSE), 1)</f>
        <v>3.156593041393168E-2</v>
      </c>
      <c r="AA14" s="7">
        <f>$B14 * IFERROR(VLOOKUP("LULUCF|SO2|Minor restricted activity days", US_national_yearly!$D:$AM, 35, FALSE) / VLOOKUP("LULUCF|SO2|Minor restricted activity days", US_national_yearly!$D:$AM, 10, FALSE), 1)</f>
        <v>3.1777139169170646E-2</v>
      </c>
      <c r="AB14" s="7">
        <f>$B14 * IFERROR(VLOOKUP("LULUCF|SO2|Minor restricted activity days", US_national_yearly!$D:$AM, 36, FALSE) / VLOOKUP("LULUCF|SO2|Minor restricted activity days", US_national_yearly!$D:$AM, 10, FALSE), 1)</f>
        <v>3.1988347924409626E-2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4.6058011414330854E-3</v>
      </c>
      <c r="C15" s="7">
        <f>$B15 * IFERROR(VLOOKUP("LULUCF|SO2|Work loss days", US_national_yearly!$D:$AM, 11, FALSE) / VLOOKUP("LULUCF|SO2|Work loss days", US_national_yearly!$D:$AM, 10, FALSE), 1)</f>
        <v>4.6207232051039887E-3</v>
      </c>
      <c r="D15" s="7">
        <f>$B15 * IFERROR(VLOOKUP("LULUCF|SO2|Work loss days", US_national_yearly!$D:$AM, 12, FALSE) / VLOOKUP("LULUCF|SO2|Work loss days", US_national_yearly!$D:$AM, 10, FALSE), 1)</f>
        <v>4.6356452687748911E-3</v>
      </c>
      <c r="E15" s="7">
        <f>$B15 * IFERROR(VLOOKUP("LULUCF|SO2|Work loss days", US_national_yearly!$D:$AM, 13, FALSE) / VLOOKUP("LULUCF|SO2|Work loss days", US_national_yearly!$D:$AM, 10, FALSE), 1)</f>
        <v>4.6505673324457944E-3</v>
      </c>
      <c r="F15" s="7">
        <f>$B15 * IFERROR(VLOOKUP("LULUCF|SO2|Work loss days", US_national_yearly!$D:$AM, 14, FALSE) / VLOOKUP("LULUCF|SO2|Work loss days", US_national_yearly!$D:$AM, 10, FALSE), 1)</f>
        <v>4.6654893961166968E-3</v>
      </c>
      <c r="G15" s="7">
        <f>$B15 * IFERROR(VLOOKUP("LULUCF|SO2|Work loss days", US_national_yearly!$D:$AM, 15, FALSE) / VLOOKUP("LULUCF|SO2|Work loss days", US_national_yearly!$D:$AM, 10, FALSE), 1)</f>
        <v>4.6849868981339218E-3</v>
      </c>
      <c r="H15" s="7">
        <f>$B15 * IFERROR(VLOOKUP("LULUCF|SO2|Work loss days", US_national_yearly!$D:$AM, 16, FALSE) / VLOOKUP("LULUCF|SO2|Work loss days", US_national_yearly!$D:$AM, 10, FALSE), 1)</f>
        <v>4.704484400151145E-3</v>
      </c>
      <c r="I15" s="7">
        <f>$B15 * IFERROR(VLOOKUP("LULUCF|SO2|Work loss days", US_national_yearly!$D:$AM, 17, FALSE) / VLOOKUP("LULUCF|SO2|Work loss days", US_national_yearly!$D:$AM, 10, FALSE), 1)</f>
        <v>4.7330066282515243E-3</v>
      </c>
      <c r="J15" s="7">
        <f>$B15 * IFERROR(VLOOKUP("LULUCF|SO2|Work loss days", US_national_yearly!$D:$AM, 18, FALSE) / VLOOKUP("LULUCF|SO2|Work loss days", US_national_yearly!$D:$AM, 10, FALSE), 1)</f>
        <v>4.7615288563519036E-3</v>
      </c>
      <c r="K15" s="7">
        <f>$B15 * IFERROR(VLOOKUP("LULUCF|SO2|Work loss days", US_national_yearly!$D:$AM, 19, FALSE) / VLOOKUP("LULUCF|SO2|Work loss days", US_national_yearly!$D:$AM, 10, FALSE), 1)</f>
        <v>4.7900510844522837E-3</v>
      </c>
      <c r="L15" s="7">
        <f>$B15 * IFERROR(VLOOKUP("LULUCF|SO2|Work loss days", US_national_yearly!$D:$AM, 20, FALSE) / VLOOKUP("LULUCF|SO2|Work loss days", US_national_yearly!$D:$AM, 10, FALSE), 1)</f>
        <v>4.818573312552663E-3</v>
      </c>
      <c r="M15" s="7">
        <f>$B15 * IFERROR(VLOOKUP("LULUCF|SO2|Work loss days", US_national_yearly!$D:$AM, 21, FALSE) / VLOOKUP("LULUCF|SO2|Work loss days", US_national_yearly!$D:$AM, 10, FALSE), 1)</f>
        <v>4.8470955406530432E-3</v>
      </c>
      <c r="N15" s="7">
        <f>$B15 * IFERROR(VLOOKUP("LULUCF|SO2|Work loss days", US_national_yearly!$D:$AM, 22, FALSE) / VLOOKUP("LULUCF|SO2|Work loss days", US_national_yearly!$D:$AM, 10, FALSE), 1)</f>
        <v>4.8828577926473661E-3</v>
      </c>
      <c r="O15" s="7">
        <f>$B15 * IFERROR(VLOOKUP("LULUCF|SO2|Work loss days", US_national_yearly!$D:$AM, 23, FALSE) / VLOOKUP("LULUCF|SO2|Work loss days", US_national_yearly!$D:$AM, 10, FALSE), 1)</f>
        <v>4.9186200446416882E-3</v>
      </c>
      <c r="P15" s="7">
        <f>$B15 * IFERROR(VLOOKUP("LULUCF|SO2|Work loss days", US_national_yearly!$D:$AM, 24, FALSE) / VLOOKUP("LULUCF|SO2|Work loss days", US_national_yearly!$D:$AM, 10, FALSE), 1)</f>
        <v>4.9543822966360103E-3</v>
      </c>
      <c r="Q15" s="7">
        <f>$B15 * IFERROR(VLOOKUP("LULUCF|SO2|Work loss days", US_national_yearly!$D:$AM, 25, FALSE) / VLOOKUP("LULUCF|SO2|Work loss days", US_national_yearly!$D:$AM, 10, FALSE), 1)</f>
        <v>4.9901445486303323E-3</v>
      </c>
      <c r="R15" s="7">
        <f>$B15 * IFERROR(VLOOKUP("LULUCF|SO2|Work loss days", US_national_yearly!$D:$AM, 26, FALSE) / VLOOKUP("LULUCF|SO2|Work loss days", US_national_yearly!$D:$AM, 10, FALSE), 1)</f>
        <v>5.0259068006246552E-3</v>
      </c>
      <c r="S15" s="7">
        <f>$B15 * IFERROR(VLOOKUP("LULUCF|SO2|Work loss days", US_national_yearly!$D:$AM, 27, FALSE) / VLOOKUP("LULUCF|SO2|Work loss days", US_national_yearly!$D:$AM, 10, FALSE), 1)</f>
        <v>5.0658709993216715E-3</v>
      </c>
      <c r="T15" s="7">
        <f>$B15 * IFERROR(VLOOKUP("LULUCF|SO2|Work loss days", US_national_yearly!$D:$AM, 28, FALSE) / VLOOKUP("LULUCF|SO2|Work loss days", US_national_yearly!$D:$AM, 10, FALSE), 1)</f>
        <v>5.1058351980186887E-3</v>
      </c>
      <c r="U15" s="7">
        <f>$B15 * IFERROR(VLOOKUP("LULUCF|SO2|Work loss days", US_national_yearly!$D:$AM, 29, FALSE) / VLOOKUP("LULUCF|SO2|Work loss days", US_national_yearly!$D:$AM, 10, FALSE), 1)</f>
        <v>5.1457993967157049E-3</v>
      </c>
      <c r="V15" s="7">
        <f>$B15 * IFERROR(VLOOKUP("LULUCF|SO2|Work loss days", US_national_yearly!$D:$AM, 30, FALSE) / VLOOKUP("LULUCF|SO2|Work loss days", US_national_yearly!$D:$AM, 10, FALSE), 1)</f>
        <v>5.1857635954127212E-3</v>
      </c>
      <c r="W15" s="7">
        <f>$B15 * IFERROR(VLOOKUP("LULUCF|SO2|Work loss days", US_national_yearly!$D:$AM, 31, FALSE) / VLOOKUP("LULUCF|SO2|Work loss days", US_national_yearly!$D:$AM, 10, FALSE), 1)</f>
        <v>5.2257277941097384E-3</v>
      </c>
      <c r="X15" s="7">
        <f>$B15 * IFERROR(VLOOKUP("LULUCF|SO2|Work loss days", US_national_yearly!$D:$AM, 32, FALSE) / VLOOKUP("LULUCF|SO2|Work loss days", US_national_yearly!$D:$AM, 10, FALSE), 1)</f>
        <v>5.2616101360097745E-3</v>
      </c>
      <c r="Y15" s="7">
        <f>$B15 * IFERROR(VLOOKUP("LULUCF|SO2|Work loss days", US_national_yearly!$D:$AM, 33, FALSE) / VLOOKUP("LULUCF|SO2|Work loss days", US_national_yearly!$D:$AM, 10, FALSE), 1)</f>
        <v>5.2974924779098116E-3</v>
      </c>
      <c r="Z15" s="7">
        <f>$B15 * IFERROR(VLOOKUP("LULUCF|SO2|Work loss days", US_national_yearly!$D:$AM, 34, FALSE) / VLOOKUP("LULUCF|SO2|Work loss days", US_national_yearly!$D:$AM, 10, FALSE), 1)</f>
        <v>5.3333748198098494E-3</v>
      </c>
      <c r="AA15" s="7">
        <f>$B15 * IFERROR(VLOOKUP("LULUCF|SO2|Work loss days", US_national_yearly!$D:$AM, 35, FALSE) / VLOOKUP("LULUCF|SO2|Work loss days", US_national_yearly!$D:$AM, 10, FALSE), 1)</f>
        <v>5.3692571617098865E-3</v>
      </c>
      <c r="AB15" s="7">
        <f>$B15 * IFERROR(VLOOKUP("LULUCF|SO2|Work loss days", US_national_yearly!$D:$AM, 36, FALSE) / VLOOKUP("LULUCF|SO2|Work loss days", US_national_yearly!$D:$AM, 10, FALSE), 1)</f>
        <v>5.4051395036099235E-3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7.4661661606610421E-6</v>
      </c>
      <c r="C17" s="7">
        <f>$B17 * IFERROR(VLOOKUP("LULUCF|SO2|Cardiovascular hospital admissions", US_national_yearly!$D:$AM, 11, FALSE) / VLOOKUP("LULUCF|SO2|Cardiovascular hospital admissions", US_national_yearly!$D:$AM, 10, FALSE), 1)</f>
        <v>7.6919716164586757E-6</v>
      </c>
      <c r="D17" s="7">
        <f>$B17 * IFERROR(VLOOKUP("LULUCF|SO2|Cardiovascular hospital admissions", US_national_yearly!$D:$AM, 12, FALSE) / VLOOKUP("LULUCF|SO2|Cardiovascular hospital admissions", US_national_yearly!$D:$AM, 10, FALSE), 1)</f>
        <v>7.9177770722563093E-6</v>
      </c>
      <c r="E17" s="7">
        <f>$B17 * IFERROR(VLOOKUP("LULUCF|SO2|Cardiovascular hospital admissions", US_national_yearly!$D:$AM, 13, FALSE) / VLOOKUP("LULUCF|SO2|Cardiovascular hospital admissions", US_national_yearly!$D:$AM, 10, FALSE), 1)</f>
        <v>8.1435825280539429E-6</v>
      </c>
      <c r="F17" s="7">
        <f>$B17 * IFERROR(VLOOKUP("LULUCF|SO2|Cardiovascular hospital admissions", US_national_yearly!$D:$AM, 14, FALSE) / VLOOKUP("LULUCF|SO2|Cardiovascular hospital admissions", US_national_yearly!$D:$AM, 10, FALSE), 1)</f>
        <v>8.3693879838515781E-6</v>
      </c>
      <c r="G17" s="7">
        <f>$B17 * IFERROR(VLOOKUP("LULUCF|SO2|Cardiovascular hospital admissions", US_national_yearly!$D:$AM, 15, FALSE) / VLOOKUP("LULUCF|SO2|Cardiovascular hospital admissions", US_national_yearly!$D:$AM, 10, FALSE), 1)</f>
        <v>8.5856881397628524E-6</v>
      </c>
      <c r="H17" s="7">
        <f>$B17 * IFERROR(VLOOKUP("LULUCF|SO2|Cardiovascular hospital admissions", US_national_yearly!$D:$AM, 16, FALSE) / VLOOKUP("LULUCF|SO2|Cardiovascular hospital admissions", US_national_yearly!$D:$AM, 10, FALSE), 1)</f>
        <v>8.80198829567413E-6</v>
      </c>
      <c r="I17" s="7">
        <f>$B17 * IFERROR(VLOOKUP("LULUCF|SO2|Cardiovascular hospital admissions", US_national_yearly!$D:$AM, 17, FALSE) / VLOOKUP("LULUCF|SO2|Cardiovascular hospital admissions", US_national_yearly!$D:$AM, 10, FALSE), 1)</f>
        <v>8.9873153186831467E-6</v>
      </c>
      <c r="J17" s="7">
        <f>$B17 * IFERROR(VLOOKUP("LULUCF|SO2|Cardiovascular hospital admissions", US_national_yearly!$D:$AM, 18, FALSE) / VLOOKUP("LULUCF|SO2|Cardiovascular hospital admissions", US_national_yearly!$D:$AM, 10, FALSE), 1)</f>
        <v>9.1726423416921651E-6</v>
      </c>
      <c r="K17" s="7">
        <f>$B17 * IFERROR(VLOOKUP("LULUCF|SO2|Cardiovascular hospital admissions", US_national_yearly!$D:$AM, 19, FALSE) / VLOOKUP("LULUCF|SO2|Cardiovascular hospital admissions", US_national_yearly!$D:$AM, 10, FALSE), 1)</f>
        <v>9.3579693647011835E-6</v>
      </c>
      <c r="L17" s="7">
        <f>$B17 * IFERROR(VLOOKUP("LULUCF|SO2|Cardiovascular hospital admissions", US_national_yearly!$D:$AM, 20, FALSE) / VLOOKUP("LULUCF|SO2|Cardiovascular hospital admissions", US_national_yearly!$D:$AM, 10, FALSE), 1)</f>
        <v>9.5432963877102002E-6</v>
      </c>
      <c r="M17" s="7">
        <f>$B17 * IFERROR(VLOOKUP("LULUCF|SO2|Cardiovascular hospital admissions", US_national_yearly!$D:$AM, 21, FALSE) / VLOOKUP("LULUCF|SO2|Cardiovascular hospital admissions", US_national_yearly!$D:$AM, 10, FALSE), 1)</f>
        <v>9.7286234107192169E-6</v>
      </c>
      <c r="N17" s="7">
        <f>$B17 * IFERROR(VLOOKUP("LULUCF|SO2|Cardiovascular hospital admissions", US_national_yearly!$D:$AM, 22, FALSE) / VLOOKUP("LULUCF|SO2|Cardiovascular hospital admissions", US_national_yearly!$D:$AM, 10, FALSE), 1)</f>
        <v>9.8531209545810461E-6</v>
      </c>
      <c r="O17" s="7">
        <f>$B17 * IFERROR(VLOOKUP("LULUCF|SO2|Cardiovascular hospital admissions", US_national_yearly!$D:$AM, 23, FALSE) / VLOOKUP("LULUCF|SO2|Cardiovascular hospital admissions", US_national_yearly!$D:$AM, 10, FALSE), 1)</f>
        <v>9.9776184984428737E-6</v>
      </c>
      <c r="P17" s="7">
        <f>$B17 * IFERROR(VLOOKUP("LULUCF|SO2|Cardiovascular hospital admissions", US_national_yearly!$D:$AM, 24, FALSE) / VLOOKUP("LULUCF|SO2|Cardiovascular hospital admissions", US_national_yearly!$D:$AM, 10, FALSE), 1)</f>
        <v>1.0102116042304703E-5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1.022661358616653E-5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1.035111113002836E-5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1.0416587973866281E-5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1.04820648177042E-5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1.0547541661542119E-5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1.0613018505380039E-5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1.0678495349217958E-5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1.072245211898544E-5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1.0766408888752924E-5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1.0810365658520406E-5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1.085432242828789E-5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1.0898279198055371E-5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2026-06-15T17:16:00Z</dcterms:modified>
</cp:coreProperties>
</file>
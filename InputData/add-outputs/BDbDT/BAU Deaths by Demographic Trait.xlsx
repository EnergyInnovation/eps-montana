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03BE9B2B-A89B-419C-BA95-0DCBF91A325B}"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X25" i="9"/>
  <c r="W25" i="9"/>
  <c r="V25" i="9"/>
  <c r="U25" i="9"/>
  <c r="T25" i="9"/>
  <c r="S25" i="9"/>
  <c r="R25" i="9"/>
  <c r="Q25" i="9"/>
  <c r="P25" i="9"/>
  <c r="O25" i="9"/>
  <c r="N25" i="9"/>
  <c r="M25" i="9"/>
  <c r="L25" i="9"/>
  <c r="K25" i="9"/>
  <c r="J25" i="9"/>
  <c r="I25" i="9"/>
  <c r="H25" i="9"/>
  <c r="G25" i="9"/>
  <c r="F25" i="9"/>
  <c r="F45" i="9" s="1"/>
  <c r="E25" i="9"/>
  <c r="D25" i="9"/>
  <c r="D45" i="9" s="1"/>
  <c r="C25" i="9"/>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P43" i="9" s="1"/>
  <c r="O23" i="9"/>
  <c r="O43" i="9" s="1"/>
  <c r="N23" i="9"/>
  <c r="M23" i="9"/>
  <c r="L23" i="9"/>
  <c r="K23" i="9"/>
  <c r="J23" i="9"/>
  <c r="I23" i="9"/>
  <c r="H23" i="9"/>
  <c r="G23" i="9"/>
  <c r="F23" i="9"/>
  <c r="E23" i="9"/>
  <c r="D23" i="9"/>
  <c r="C23" i="9"/>
  <c r="B23" i="9"/>
  <c r="AB22" i="9"/>
  <c r="AA22" i="9"/>
  <c r="Z22" i="9"/>
  <c r="Y22" i="9"/>
  <c r="X22" i="9"/>
  <c r="W22" i="9"/>
  <c r="V22" i="9"/>
  <c r="U22" i="9"/>
  <c r="U42" i="9" s="1"/>
  <c r="T22" i="9"/>
  <c r="T42" i="9" s="1"/>
  <c r="S22" i="9"/>
  <c r="R22" i="9"/>
  <c r="Q22" i="9"/>
  <c r="P22" i="9"/>
  <c r="O22" i="9"/>
  <c r="N22" i="9"/>
  <c r="M22" i="9"/>
  <c r="L22" i="9"/>
  <c r="K22" i="9"/>
  <c r="J22" i="9"/>
  <c r="I22" i="9"/>
  <c r="H22" i="9"/>
  <c r="G22" i="9"/>
  <c r="F22" i="9"/>
  <c r="E22" i="9"/>
  <c r="D22" i="9"/>
  <c r="C22" i="9"/>
  <c r="B22" i="9"/>
  <c r="AB21" i="9"/>
  <c r="AA21" i="9"/>
  <c r="Z21" i="9"/>
  <c r="Z41" i="9" s="1"/>
  <c r="Y21" i="9"/>
  <c r="Y41" i="9" s="1"/>
  <c r="X21" i="9"/>
  <c r="W21" i="9"/>
  <c r="V21" i="9"/>
  <c r="U21" i="9"/>
  <c r="T21" i="9"/>
  <c r="S21" i="9"/>
  <c r="R21" i="9"/>
  <c r="Q21" i="9"/>
  <c r="P21" i="9"/>
  <c r="O21" i="9"/>
  <c r="N21" i="9"/>
  <c r="M21" i="9"/>
  <c r="L21" i="9"/>
  <c r="K21" i="9"/>
  <c r="J21" i="9"/>
  <c r="I21" i="9"/>
  <c r="H21" i="9"/>
  <c r="G21" i="9"/>
  <c r="F21" i="9"/>
  <c r="E21" i="9"/>
  <c r="D21" i="9"/>
  <c r="D41" i="9" s="1"/>
  <c r="C21" i="9"/>
  <c r="C41" i="9" s="1"/>
  <c r="B21" i="9"/>
  <c r="AB20" i="9"/>
  <c r="AA20" i="9"/>
  <c r="Z20" i="9"/>
  <c r="Y20" i="9"/>
  <c r="X20" i="9"/>
  <c r="W20" i="9"/>
  <c r="V20" i="9"/>
  <c r="U20" i="9"/>
  <c r="T20" i="9"/>
  <c r="S20" i="9"/>
  <c r="R20" i="9"/>
  <c r="Q20" i="9"/>
  <c r="P20" i="9"/>
  <c r="O20" i="9"/>
  <c r="N20" i="9"/>
  <c r="M20" i="9"/>
  <c r="L20" i="9"/>
  <c r="K20" i="9"/>
  <c r="J20" i="9"/>
  <c r="I20" i="9"/>
  <c r="I40" i="9" s="1"/>
  <c r="H20" i="9"/>
  <c r="G20" i="9"/>
  <c r="F20" i="9"/>
  <c r="E20" i="9"/>
  <c r="D20" i="9"/>
  <c r="C20" i="9"/>
  <c r="B20" i="9"/>
  <c r="AB19" i="9"/>
  <c r="AA19" i="9"/>
  <c r="Z19" i="9"/>
  <c r="Y19" i="9"/>
  <c r="X19" i="9"/>
  <c r="W19" i="9"/>
  <c r="V19" i="9"/>
  <c r="U19" i="9"/>
  <c r="T19" i="9"/>
  <c r="S19" i="9"/>
  <c r="R19" i="9"/>
  <c r="Q19" i="9"/>
  <c r="P19" i="9"/>
  <c r="O19" i="9"/>
  <c r="N19" i="9"/>
  <c r="N39" i="9" s="1"/>
  <c r="M19" i="9"/>
  <c r="M39" i="9" s="1"/>
  <c r="L19" i="9"/>
  <c r="K19" i="9"/>
  <c r="J19" i="9"/>
  <c r="I19" i="9"/>
  <c r="H19" i="9"/>
  <c r="G19" i="9"/>
  <c r="F19" i="9"/>
  <c r="E19" i="9"/>
  <c r="D19" i="9"/>
  <c r="C19" i="9"/>
  <c r="B19" i="9"/>
  <c r="AB18" i="9"/>
  <c r="AA18" i="9"/>
  <c r="Z18" i="9"/>
  <c r="Y18" i="9"/>
  <c r="X18" i="9"/>
  <c r="W18" i="9"/>
  <c r="V18" i="9"/>
  <c r="U18" i="9"/>
  <c r="T18" i="9"/>
  <c r="S18" i="9"/>
  <c r="S38" i="9" s="1"/>
  <c r="R18" i="9"/>
  <c r="R38" i="9" s="1"/>
  <c r="Q18" i="9"/>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L39" i="9" l="1"/>
  <c r="G40" i="9"/>
  <c r="X41" i="9"/>
  <c r="Q38" i="9"/>
  <c r="B41" i="9"/>
  <c r="S42" i="9"/>
  <c r="N43" i="9"/>
  <c r="E45" i="9"/>
  <c r="H40" i="9"/>
  <c r="C45" i="9"/>
  <c r="Y45" i="9"/>
  <c r="M15" i="9"/>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V2" i="11" s="1"/>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D4" i="1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AB52" i="9"/>
  <c r="AB6" i="10" s="1"/>
  <c r="M4" i="1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C4" i="10"/>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S71" i="9" l="1"/>
  <c r="Z68" i="9"/>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<sst xmlns="http://schemas.openxmlformats.org/spreadsheetml/2006/main" count="5677" uniqueCount="335">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</sst>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116</v>
      </c>
    </row>
    <row r="2" spans="1:2" x14ac:dyDescent="0.25">
      <c r="A2" s="3" t="s">
        <v>2</v>
      </c>
      <c r="B2" s="4" t="str">
        <f>IFERROR(INDEX(Geography!B:B, MATCH($B$1, Geography!C:C, 0)), "")</f>
        <v>MT</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576220</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1137233</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1.0220429768367929</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561013</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1137233</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0.97832790331332331</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1008299</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1137233</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1.1798505058316398</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7554</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1137233</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4.8622845180004481E-2</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11739</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1137233</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0.15986249134927419</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109641</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1137233</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2.0363045949032874</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55956</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1137233</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0.25214572936443269</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1081277</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1137233</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1.1813184729901729</v>
      </c>
    </row>
    <row r="12" spans="1:28" x14ac:dyDescent="0.25">
      <c r="A12" s="4" t="s">
        <v>319</v>
      </c>
    </row>
    <row r="13" spans="1:28" x14ac:dyDescent="0.25">
      <c r="A13" s="4" t="s">
        <v>320</v>
      </c>
      <c r="B13" s="37">
        <f>INDEX(Census_pop_2020_2025!G:G, MATCH("."&amp;About!$B$1, Census_pop_2020_2025!A:A, 0))</f>
        <v>1137557</v>
      </c>
      <c r="C13" s="37">
        <f>INDEX(Census_pop_2020_2025!H:H, MATCH("."&amp;About!$B$1, Census_pop_2020_2025!A:A, 0))</f>
        <v>1144694</v>
      </c>
      <c r="D13" s="37">
        <f>INDEX(Census_pop_2020_2025!H:H, MATCH("."&amp;About!$B$1, Census_pop_2020_2025!A:A, 0))+0.2*(INDEX(Cooper_pop_2030_2050!D:D, MATCH(About!$B$1, Cooper_pop_2030_2050!B:B, 0))-INDEX(Census_pop_2020_2025!H:H, MATCH("."&amp;About!$B$1, Census_pop_2020_2025!A:A, 0)))</f>
        <v>1147730.2101903651</v>
      </c>
      <c r="E13" s="37">
        <f>INDEX(Census_pop_2020_2025!H:H, MATCH("."&amp;About!$B$1, Census_pop_2020_2025!A:A, 0))+0.4*(INDEX(Cooper_pop_2030_2050!D:D, MATCH(About!$B$1, Cooper_pop_2030_2050!B:B, 0))-INDEX(Census_pop_2020_2025!H:H, MATCH("."&amp;About!$B$1, Census_pop_2020_2025!A:A, 0)))</f>
        <v>1150766.4203807299</v>
      </c>
      <c r="F13" s="37">
        <f>INDEX(Census_pop_2020_2025!H:H, MATCH("."&amp;About!$B$1, Census_pop_2020_2025!A:A, 0))+0.6*(INDEX(Cooper_pop_2030_2050!D:D, MATCH(About!$B$1, Cooper_pop_2030_2050!B:B, 0))-INDEX(Census_pop_2020_2025!H:H, MATCH("."&amp;About!$B$1, Census_pop_2020_2025!A:A, 0)))</f>
        <v>1153802.630571095</v>
      </c>
      <c r="G13" s="37">
        <f>INDEX(Census_pop_2020_2025!H:H, MATCH("."&amp;About!$B$1, Census_pop_2020_2025!A:A, 0))+0.8*(INDEX(Cooper_pop_2030_2050!D:D, MATCH(About!$B$1, Cooper_pop_2030_2050!B:B, 0))-INDEX(Census_pop_2020_2025!H:H, MATCH("."&amp;About!$B$1, Census_pop_2020_2025!A:A, 0)))</f>
        <v>1156838.8407614599</v>
      </c>
      <c r="H13" s="37">
        <f>INDEX(Cooper_pop_2030_2050!D:D, MATCH(About!$B$1, Cooper_pop_2030_2050!B:B, 0))</f>
        <v>1159875.050951825</v>
      </c>
      <c r="I13" s="37">
        <f>INDEX(Cooper_pop_2030_2050!D:D, MATCH(About!$B$1, Cooper_pop_2030_2050!B:B, 0))+0.1*(INDEX(Cooper_pop_2030_2050!E:E, MATCH(About!$B$1, Cooper_pop_2030_2050!B:B, 0))-INDEX(Cooper_pop_2030_2050!D:D, MATCH(About!$B$1, Cooper_pop_2030_2050!B:B, 0)))</f>
        <v>1166089.5303757135</v>
      </c>
      <c r="J13" s="37">
        <f>INDEX(Cooper_pop_2030_2050!D:D, MATCH(About!$B$1, Cooper_pop_2030_2050!B:B, 0))+0.2*(INDEX(Cooper_pop_2030_2050!E:E, MATCH(About!$B$1, Cooper_pop_2030_2050!B:B, 0))-INDEX(Cooper_pop_2030_2050!D:D, MATCH(About!$B$1, Cooper_pop_2030_2050!B:B, 0)))</f>
        <v>1172304.0097996022</v>
      </c>
      <c r="K13" s="37">
        <f>INDEX(Cooper_pop_2030_2050!D:D, MATCH(About!$B$1, Cooper_pop_2030_2050!B:B, 0))+0.3*(INDEX(Cooper_pop_2030_2050!E:E, MATCH(About!$B$1, Cooper_pop_2030_2050!B:B, 0))-INDEX(Cooper_pop_2030_2050!D:D, MATCH(About!$B$1, Cooper_pop_2030_2050!B:B, 0)))</f>
        <v>1178518.4892234909</v>
      </c>
      <c r="L13" s="37">
        <f>INDEX(Cooper_pop_2030_2050!D:D, MATCH(About!$B$1, Cooper_pop_2030_2050!B:B, 0))+0.4*(INDEX(Cooper_pop_2030_2050!E:E, MATCH(About!$B$1, Cooper_pop_2030_2050!B:B, 0))-INDEX(Cooper_pop_2030_2050!D:D, MATCH(About!$B$1, Cooper_pop_2030_2050!B:B, 0)))</f>
        <v>1184732.9686473794</v>
      </c>
      <c r="M13" s="37">
        <f>INDEX(Cooper_pop_2030_2050!D:D, MATCH(About!$B$1, Cooper_pop_2030_2050!B:B, 0))+0.5*(INDEX(Cooper_pop_2030_2050!E:E, MATCH(About!$B$1, Cooper_pop_2030_2050!B:B, 0))-INDEX(Cooper_pop_2030_2050!D:D, MATCH(About!$B$1, Cooper_pop_2030_2050!B:B, 0)))</f>
        <v>1190947.4480712679</v>
      </c>
      <c r="N13" s="37">
        <f>INDEX(Cooper_pop_2030_2050!D:D, MATCH(About!$B$1, Cooper_pop_2030_2050!B:B, 0))+0.6*(INDEX(Cooper_pop_2030_2050!E:E, MATCH(About!$B$1, Cooper_pop_2030_2050!B:B, 0))-INDEX(Cooper_pop_2030_2050!D:D, MATCH(About!$B$1, Cooper_pop_2030_2050!B:B, 0)))</f>
        <v>1197161.9274951566</v>
      </c>
      <c r="O13" s="37">
        <f>INDEX(Cooper_pop_2030_2050!D:D, MATCH(About!$B$1, Cooper_pop_2030_2050!B:B, 0))+0.7*(INDEX(Cooper_pop_2030_2050!E:E, MATCH(About!$B$1, Cooper_pop_2030_2050!B:B, 0))-INDEX(Cooper_pop_2030_2050!D:D, MATCH(About!$B$1, Cooper_pop_2030_2050!B:B, 0)))</f>
        <v>1203376.4069190454</v>
      </c>
      <c r="P13" s="37">
        <f>INDEX(Cooper_pop_2030_2050!D:D, MATCH(About!$B$1, Cooper_pop_2030_2050!B:B, 0))+0.8*(INDEX(Cooper_pop_2030_2050!E:E, MATCH(About!$B$1, Cooper_pop_2030_2050!B:B, 0))-INDEX(Cooper_pop_2030_2050!D:D, MATCH(About!$B$1, Cooper_pop_2030_2050!B:B, 0)))</f>
        <v>1209590.8863429339</v>
      </c>
      <c r="Q13" s="37">
        <f>INDEX(Cooper_pop_2030_2050!D:D, MATCH(About!$B$1, Cooper_pop_2030_2050!B:B, 0))+0.9*(INDEX(Cooper_pop_2030_2050!E:E, MATCH(About!$B$1, Cooper_pop_2030_2050!B:B, 0))-INDEX(Cooper_pop_2030_2050!D:D, MATCH(About!$B$1, Cooper_pop_2030_2050!B:B, 0)))</f>
        <v>1215805.3657668224</v>
      </c>
      <c r="R13" s="37">
        <f>INDEX(Cooper_pop_2030_2050!E:E, MATCH(About!$B$1, Cooper_pop_2030_2050!B:B, 0))</f>
        <v>1222019.8451907111</v>
      </c>
      <c r="S13" s="37">
        <f>INDEX(Cooper_pop_2030_2050!E:E, MATCH(About!$B$1, Cooper_pop_2030_2050!B:B, 0))+0.1*(INDEX(Cooper_pop_2030_2050!F:F, MATCH(About!$B$1, Cooper_pop_2030_2050!B:B, 0))-INDEX(Cooper_pop_2030_2050!E:E, MATCH(About!$B$1, Cooper_pop_2030_2050!B:B, 0)))</f>
        <v>1227058.6168330878</v>
      </c>
      <c r="T13" s="37">
        <f>INDEX(Cooper_pop_2030_2050!E:E, MATCH(About!$B$1, Cooper_pop_2030_2050!B:B, 0))+0.2*(INDEX(Cooper_pop_2030_2050!F:F, MATCH(About!$B$1, Cooper_pop_2030_2050!B:B, 0))-INDEX(Cooper_pop_2030_2050!E:E, MATCH(About!$B$1, Cooper_pop_2030_2050!B:B, 0)))</f>
        <v>1232097.3884754642</v>
      </c>
      <c r="U13" s="37">
        <f>INDEX(Cooper_pop_2030_2050!E:E, MATCH(About!$B$1, Cooper_pop_2030_2050!B:B, 0))+0.3*(INDEX(Cooper_pop_2030_2050!F:F, MATCH(About!$B$1, Cooper_pop_2030_2050!B:B, 0))-INDEX(Cooper_pop_2030_2050!E:E, MATCH(About!$B$1, Cooper_pop_2030_2050!B:B, 0)))</f>
        <v>1237136.1601178409</v>
      </c>
      <c r="V13" s="37">
        <f>INDEX(Cooper_pop_2030_2050!E:E, MATCH(About!$B$1, Cooper_pop_2030_2050!B:B, 0))+0.4*(INDEX(Cooper_pop_2030_2050!F:F, MATCH(About!$B$1, Cooper_pop_2030_2050!B:B, 0))-INDEX(Cooper_pop_2030_2050!E:E, MATCH(About!$B$1, Cooper_pop_2030_2050!B:B, 0)))</f>
        <v>1242174.9317602175</v>
      </c>
      <c r="W13" s="37">
        <f>INDEX(Cooper_pop_2030_2050!E:E, MATCH(About!$B$1, Cooper_pop_2030_2050!B:B, 0))+0.5*(INDEX(Cooper_pop_2030_2050!F:F, MATCH(About!$B$1, Cooper_pop_2030_2050!B:B, 0))-INDEX(Cooper_pop_2030_2050!E:E, MATCH(About!$B$1, Cooper_pop_2030_2050!B:B, 0)))</f>
        <v>1247213.7034025942</v>
      </c>
      <c r="X13" s="37">
        <f>INDEX(Cooper_pop_2030_2050!E:E, MATCH(About!$B$1, Cooper_pop_2030_2050!B:B, 0))+0.6*(INDEX(Cooper_pop_2030_2050!F:F, MATCH(About!$B$1, Cooper_pop_2030_2050!B:B, 0))-INDEX(Cooper_pop_2030_2050!E:E, MATCH(About!$B$1, Cooper_pop_2030_2050!B:B, 0)))</f>
        <v>1252252.4750449706</v>
      </c>
      <c r="Y13" s="37">
        <f>INDEX(Cooper_pop_2030_2050!E:E, MATCH(About!$B$1, Cooper_pop_2030_2050!B:B, 0))+0.7*(INDEX(Cooper_pop_2030_2050!F:F, MATCH(About!$B$1, Cooper_pop_2030_2050!B:B, 0))-INDEX(Cooper_pop_2030_2050!E:E, MATCH(About!$B$1, Cooper_pop_2030_2050!B:B, 0)))</f>
        <v>1257291.2466873473</v>
      </c>
      <c r="Z13" s="37">
        <f>INDEX(Cooper_pop_2030_2050!E:E, MATCH(About!$B$1, Cooper_pop_2030_2050!B:B, 0))+0.8*(INDEX(Cooper_pop_2030_2050!F:F, MATCH(About!$B$1, Cooper_pop_2030_2050!B:B, 0))-INDEX(Cooper_pop_2030_2050!E:E, MATCH(About!$B$1, Cooper_pop_2030_2050!B:B, 0)))</f>
        <v>1262330.018329724</v>
      </c>
      <c r="AA13" s="37">
        <f>INDEX(Cooper_pop_2030_2050!E:E, MATCH(About!$B$1, Cooper_pop_2030_2050!B:B, 0))+0.9*(INDEX(Cooper_pop_2030_2050!F:F, MATCH(About!$B$1, Cooper_pop_2030_2050!B:B, 0))-INDEX(Cooper_pop_2030_2050!E:E, MATCH(About!$B$1, Cooper_pop_2030_2050!B:B, 0)))</f>
        <v>1267368.7899721004</v>
      </c>
      <c r="AB13" s="37">
        <f>INDEX(Cooper_pop_2030_2050!F:F, MATCH(About!$B$1, Cooper_pop_2030_2050!B:B, 0))</f>
        <v>1272407.5616144771</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3.3807348744852358E-3</v>
      </c>
      <c r="C15" s="39">
        <f t="shared" si="1"/>
        <v>3.3865057361042506E-3</v>
      </c>
      <c r="D15" s="39">
        <f t="shared" si="1"/>
        <v>3.3805187373297102E-3</v>
      </c>
      <c r="E15" s="39">
        <f t="shared" si="1"/>
        <v>3.3749735941397403E-3</v>
      </c>
      <c r="F15" s="39">
        <f t="shared" si="1"/>
        <v>3.3699004981494695E-3</v>
      </c>
      <c r="G15" s="39">
        <f t="shared" si="1"/>
        <v>3.3653122410552843E-3</v>
      </c>
      <c r="H15" s="39">
        <f t="shared" si="1"/>
        <v>3.3612399458991448E-3</v>
      </c>
      <c r="I15" s="39">
        <f t="shared" si="1"/>
        <v>3.3668996027424528E-3</v>
      </c>
      <c r="J15" s="39">
        <f t="shared" si="1"/>
        <v>3.3730989634030233E-3</v>
      </c>
      <c r="K15" s="39">
        <f t="shared" si="1"/>
        <v>3.3797314744767972E-3</v>
      </c>
      <c r="L15" s="39">
        <f t="shared" si="1"/>
        <v>3.3868126634961169E-3</v>
      </c>
      <c r="M15" s="39">
        <f t="shared" si="1"/>
        <v>3.3943560639266221E-3</v>
      </c>
      <c r="N15" s="39">
        <f t="shared" si="1"/>
        <v>3.4023722948209809E-3</v>
      </c>
      <c r="O15" s="39">
        <f t="shared" si="1"/>
        <v>3.4108723961838597E-3</v>
      </c>
      <c r="P15" s="39">
        <f t="shared" si="1"/>
        <v>3.41986338895096E-3</v>
      </c>
      <c r="Q15" s="39">
        <f t="shared" si="1"/>
        <v>3.4293455275452426E-3</v>
      </c>
      <c r="R15" s="39">
        <f t="shared" si="1"/>
        <v>3.4393151649780075E-3</v>
      </c>
      <c r="S15" s="39">
        <f t="shared" si="1"/>
        <v>3.4464691346036678E-3</v>
      </c>
      <c r="T15" s="39">
        <f t="shared" si="1"/>
        <v>3.4541032111704835E-3</v>
      </c>
      <c r="U15" s="39">
        <f t="shared" si="1"/>
        <v>3.4621921771409393E-3</v>
      </c>
      <c r="V15" s="39">
        <f t="shared" si="1"/>
        <v>3.4706989444202294E-3</v>
      </c>
      <c r="W15" s="39">
        <f t="shared" si="1"/>
        <v>3.4795802826465437E-3</v>
      </c>
      <c r="X15" s="39">
        <f t="shared" si="1"/>
        <v>3.4887910138576613E-3</v>
      </c>
      <c r="Y15" s="39">
        <f t="shared" si="1"/>
        <v>3.4983030321059038E-3</v>
      </c>
      <c r="Z15" s="39">
        <f t="shared" si="1"/>
        <v>3.5080727046292058E-3</v>
      </c>
      <c r="AA15" s="39">
        <f t="shared" si="1"/>
        <v>3.5180551038820882E-3</v>
      </c>
      <c r="AB15" s="39">
        <f t="shared" si="1"/>
        <v>3.528205491134175E-3</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32.517417368824766</v>
      </c>
      <c r="C48" s="37">
        <f t="shared" si="10"/>
        <v>32.327182129650737</v>
      </c>
      <c r="D48" s="37">
        <f t="shared" si="10"/>
        <v>32.021268398169326</v>
      </c>
      <c r="E48" s="37">
        <f t="shared" si="10"/>
        <v>31.720388669645782</v>
      </c>
      <c r="F48" s="37">
        <f t="shared" si="10"/>
        <v>31.417838573638516</v>
      </c>
      <c r="G48" s="37">
        <f t="shared" si="10"/>
        <v>31.113660379579311</v>
      </c>
      <c r="H48" s="37">
        <f t="shared" si="10"/>
        <v>30.808054507760097</v>
      </c>
      <c r="I48" s="37">
        <f t="shared" si="10"/>
        <v>30.601845412358973</v>
      </c>
      <c r="J48" s="37">
        <f t="shared" si="10"/>
        <v>30.37550050351237</v>
      </c>
      <c r="K48" s="37">
        <f t="shared" si="10"/>
        <v>30.155435033136943</v>
      </c>
      <c r="L48" s="37">
        <f t="shared" si="10"/>
        <v>29.917468758811111</v>
      </c>
      <c r="M48" s="37">
        <f t="shared" si="10"/>
        <v>29.685754229399581</v>
      </c>
      <c r="N48" s="37">
        <f t="shared" si="10"/>
        <v>29.463762013170196</v>
      </c>
      <c r="O48" s="37">
        <f t="shared" si="10"/>
        <v>29.202709352131709</v>
      </c>
      <c r="P48" s="37">
        <f t="shared" si="10"/>
        <v>28.954629117139699</v>
      </c>
      <c r="Q48" s="37">
        <f t="shared" si="10"/>
        <v>28.687921717235497</v>
      </c>
      <c r="R48" s="37">
        <f t="shared" si="10"/>
        <v>28.419809148259379</v>
      </c>
      <c r="S48" s="37">
        <f t="shared" si="10"/>
        <v>28.11611267892135</v>
      </c>
      <c r="T48" s="37">
        <f t="shared" si="10"/>
        <v>27.814776152651859</v>
      </c>
      <c r="U48" s="37">
        <f t="shared" si="10"/>
        <v>27.515447532249677</v>
      </c>
      <c r="V48" s="37">
        <f t="shared" si="10"/>
        <v>27.217692308635453</v>
      </c>
      <c r="W48" s="37">
        <f t="shared" si="10"/>
        <v>26.924600348545646</v>
      </c>
      <c r="X48" s="37">
        <f t="shared" si="10"/>
        <v>26.660696680106643</v>
      </c>
      <c r="Y48" s="37">
        <f t="shared" si="10"/>
        <v>26.397296658837373</v>
      </c>
      <c r="Z48" s="37">
        <f t="shared" si="10"/>
        <v>26.151915404573675</v>
      </c>
      <c r="AA48" s="37">
        <f t="shared" si="10"/>
        <v>25.909918900608446</v>
      </c>
      <c r="AB48" s="37">
        <f t="shared" si="10"/>
        <v>25.667348863234821</v>
      </c>
    </row>
    <row r="49" spans="1:28" x14ac:dyDescent="0.25">
      <c r="A49" s="4" t="s">
        <v>216</v>
      </c>
      <c r="B49" s="37">
        <f t="shared" ref="B49:AB49" si="11">B29*B15*$F$5</f>
        <v>24.819234329645944</v>
      </c>
      <c r="C49" s="37">
        <f t="shared" si="11"/>
        <v>24.725762739625232</v>
      </c>
      <c r="D49" s="37">
        <f t="shared" si="11"/>
        <v>24.546452609968391</v>
      </c>
      <c r="E49" s="37">
        <f t="shared" si="11"/>
        <v>24.367511599883116</v>
      </c>
      <c r="F49" s="37">
        <f t="shared" si="11"/>
        <v>24.185821364516634</v>
      </c>
      <c r="G49" s="37">
        <f t="shared" si="11"/>
        <v>24.008026711189533</v>
      </c>
      <c r="H49" s="37">
        <f t="shared" si="11"/>
        <v>23.8309973243462</v>
      </c>
      <c r="I49" s="37">
        <f t="shared" si="11"/>
        <v>23.706427373438839</v>
      </c>
      <c r="J49" s="37">
        <f t="shared" si="11"/>
        <v>23.594977381221135</v>
      </c>
      <c r="K49" s="37">
        <f t="shared" si="11"/>
        <v>23.466128354205654</v>
      </c>
      <c r="L49" s="37">
        <f t="shared" si="11"/>
        <v>23.346310337223862</v>
      </c>
      <c r="M49" s="37">
        <f t="shared" si="11"/>
        <v>23.209024032079057</v>
      </c>
      <c r="N49" s="37">
        <f t="shared" si="11"/>
        <v>23.057459864380554</v>
      </c>
      <c r="O49" s="37">
        <f t="shared" si="11"/>
        <v>22.924857765617304</v>
      </c>
      <c r="P49" s="37">
        <f t="shared" si="11"/>
        <v>22.761122140063435</v>
      </c>
      <c r="Q49" s="37">
        <f t="shared" si="11"/>
        <v>22.606154539940352</v>
      </c>
      <c r="R49" s="37">
        <f t="shared" si="11"/>
        <v>22.436339665236588</v>
      </c>
      <c r="S49" s="37">
        <f t="shared" si="11"/>
        <v>22.246984133275294</v>
      </c>
      <c r="T49" s="37">
        <f t="shared" si="11"/>
        <v>22.052956475042254</v>
      </c>
      <c r="U49" s="37">
        <f t="shared" si="11"/>
        <v>21.860725564123168</v>
      </c>
      <c r="V49" s="37">
        <f t="shared" si="11"/>
        <v>21.676754670547787</v>
      </c>
      <c r="W49" s="37">
        <f t="shared" si="11"/>
        <v>21.497336595926416</v>
      </c>
      <c r="X49" s="37">
        <f t="shared" si="11"/>
        <v>21.315319077547379</v>
      </c>
      <c r="Y49" s="37">
        <f t="shared" si="11"/>
        <v>21.147550080558172</v>
      </c>
      <c r="Z49" s="37">
        <f t="shared" si="11"/>
        <v>20.976661569088087</v>
      </c>
      <c r="AA49" s="37">
        <f t="shared" si="11"/>
        <v>20.816075791859237</v>
      </c>
      <c r="AB49" s="37">
        <f t="shared" si="11"/>
        <v>20.675933864793109</v>
      </c>
    </row>
    <row r="50" spans="1:28" x14ac:dyDescent="0.25">
      <c r="A50" s="4" t="s">
        <v>217</v>
      </c>
      <c r="B50" s="37">
        <f t="shared" ref="B50:AB50" si="12">B30*B15*$F$6</f>
        <v>39.321213348693043</v>
      </c>
      <c r="C50" s="37">
        <f t="shared" si="12"/>
        <v>39.128621962754416</v>
      </c>
      <c r="D50" s="37">
        <f t="shared" si="12"/>
        <v>38.80418209497855</v>
      </c>
      <c r="E50" s="37">
        <f t="shared" si="12"/>
        <v>38.477721052295813</v>
      </c>
      <c r="F50" s="37">
        <f t="shared" si="12"/>
        <v>38.153492635272507</v>
      </c>
      <c r="G50" s="37">
        <f t="shared" si="12"/>
        <v>37.835517219106443</v>
      </c>
      <c r="H50" s="37">
        <f t="shared" si="12"/>
        <v>37.508164231394481</v>
      </c>
      <c r="I50" s="37">
        <f t="shared" si="12"/>
        <v>37.293249815779717</v>
      </c>
      <c r="J50" s="37">
        <f t="shared" si="12"/>
        <v>37.063435201914992</v>
      </c>
      <c r="K50" s="37">
        <f t="shared" si="12"/>
        <v>36.821294233827423</v>
      </c>
      <c r="L50" s="37">
        <f t="shared" si="12"/>
        <v>36.5627836027735</v>
      </c>
      <c r="M50" s="37">
        <f t="shared" si="12"/>
        <v>36.28778926682746</v>
      </c>
      <c r="N50" s="37">
        <f t="shared" si="12"/>
        <v>35.996144465437446</v>
      </c>
      <c r="O50" s="37">
        <f t="shared" si="12"/>
        <v>35.675592562217098</v>
      </c>
      <c r="P50" s="37">
        <f t="shared" si="12"/>
        <v>35.341930404571798</v>
      </c>
      <c r="Q50" s="37">
        <f t="shared" si="12"/>
        <v>34.990802998629839</v>
      </c>
      <c r="R50" s="37">
        <f t="shared" si="12"/>
        <v>34.621812853054358</v>
      </c>
      <c r="S50" s="37">
        <f t="shared" si="12"/>
        <v>34.209936293653612</v>
      </c>
      <c r="T50" s="37">
        <f t="shared" si="12"/>
        <v>33.800749040896378</v>
      </c>
      <c r="U50" s="37">
        <f t="shared" si="12"/>
        <v>33.393805640398732</v>
      </c>
      <c r="V50" s="37">
        <f t="shared" si="12"/>
        <v>32.992656877902689</v>
      </c>
      <c r="W50" s="37">
        <f t="shared" si="12"/>
        <v>32.604964148217981</v>
      </c>
      <c r="X50" s="37">
        <f t="shared" si="12"/>
        <v>32.234368178154227</v>
      </c>
      <c r="Y50" s="37">
        <f t="shared" si="12"/>
        <v>31.87235887650894</v>
      </c>
      <c r="Z50" s="37">
        <f t="shared" si="12"/>
        <v>31.522634320067937</v>
      </c>
      <c r="AA50" s="37">
        <f t="shared" si="12"/>
        <v>31.193104890349364</v>
      </c>
      <c r="AB50" s="37">
        <f t="shared" si="12"/>
        <v>30.875154082673102</v>
      </c>
    </row>
    <row r="51" spans="1:28" x14ac:dyDescent="0.25">
      <c r="A51" s="4" t="s">
        <v>218</v>
      </c>
      <c r="B51" s="37">
        <f t="shared" ref="B51:AB51" si="13">B31*B15*$F$7</f>
        <v>0.76897407659993799</v>
      </c>
      <c r="C51" s="37">
        <f t="shared" si="13"/>
        <v>0.75991302605746969</v>
      </c>
      <c r="D51" s="37">
        <f t="shared" si="13"/>
        <v>0.74837860964703451</v>
      </c>
      <c r="E51" s="37">
        <f t="shared" si="13"/>
        <v>0.73664857449097032</v>
      </c>
      <c r="F51" s="37">
        <f t="shared" si="13"/>
        <v>0.72472690630603465</v>
      </c>
      <c r="G51" s="37">
        <f t="shared" si="13"/>
        <v>0.71294051133709624</v>
      </c>
      <c r="H51" s="37">
        <f t="shared" si="13"/>
        <v>0.7008009162658656</v>
      </c>
      <c r="I51" s="37">
        <f t="shared" si="13"/>
        <v>0.69084876486962776</v>
      </c>
      <c r="J51" s="37">
        <f t="shared" si="13"/>
        <v>0.68096814433602082</v>
      </c>
      <c r="K51" s="37">
        <f t="shared" si="13"/>
        <v>0.67113254239350606</v>
      </c>
      <c r="L51" s="37">
        <f t="shared" si="13"/>
        <v>0.66167004758363657</v>
      </c>
      <c r="M51" s="37">
        <f t="shared" si="13"/>
        <v>0.65274605130625907</v>
      </c>
      <c r="N51" s="37">
        <f t="shared" si="13"/>
        <v>0.64386531903900024</v>
      </c>
      <c r="O51" s="37">
        <f t="shared" si="13"/>
        <v>0.63552309995826395</v>
      </c>
      <c r="P51" s="37">
        <f t="shared" si="13"/>
        <v>0.62722131710462992</v>
      </c>
      <c r="Q51" s="37">
        <f t="shared" si="13"/>
        <v>0.61928920913508467</v>
      </c>
      <c r="R51" s="37">
        <f t="shared" si="13"/>
        <v>0.61155750911222417</v>
      </c>
      <c r="S51" s="37">
        <f t="shared" si="13"/>
        <v>0.60327768653819336</v>
      </c>
      <c r="T51" s="37">
        <f t="shared" si="13"/>
        <v>0.59520886618333557</v>
      </c>
      <c r="U51" s="37">
        <f t="shared" si="13"/>
        <v>0.58717562013336233</v>
      </c>
      <c r="V51" s="37">
        <f t="shared" si="13"/>
        <v>0.57950555405222159</v>
      </c>
      <c r="W51" s="37">
        <f t="shared" si="13"/>
        <v>0.57168318851250011</v>
      </c>
      <c r="X51" s="37">
        <f t="shared" si="13"/>
        <v>0.56420582817487042</v>
      </c>
      <c r="Y51" s="37">
        <f t="shared" si="13"/>
        <v>0.55723923546397669</v>
      </c>
      <c r="Z51" s="37">
        <f t="shared" si="13"/>
        <v>0.55026680756756552</v>
      </c>
      <c r="AA51" s="37">
        <f t="shared" si="13"/>
        <v>0.54362184301218952</v>
      </c>
      <c r="AB51" s="37">
        <f t="shared" si="13"/>
        <v>0.5369558486926016</v>
      </c>
    </row>
    <row r="52" spans="1:28" x14ac:dyDescent="0.25">
      <c r="A52" s="4" t="s">
        <v>219</v>
      </c>
      <c r="B52" s="37">
        <f t="shared" ref="B52:AB52" si="14">B32*B15*$F$8</f>
        <v>0.46532977437849016</v>
      </c>
      <c r="C52" s="37">
        <f t="shared" si="14"/>
        <v>0.46774821076608947</v>
      </c>
      <c r="D52" s="37">
        <f t="shared" si="14"/>
        <v>0.46854253379790695</v>
      </c>
      <c r="E52" s="37">
        <f t="shared" si="14"/>
        <v>0.46993209937455516</v>
      </c>
      <c r="F52" s="37">
        <f t="shared" si="14"/>
        <v>0.47138060307916757</v>
      </c>
      <c r="G52" s="37">
        <f t="shared" si="14"/>
        <v>0.47289074794148678</v>
      </c>
      <c r="H52" s="37">
        <f t="shared" si="14"/>
        <v>0.47446785733656288</v>
      </c>
      <c r="I52" s="37">
        <f t="shared" si="14"/>
        <v>0.47741973029353624</v>
      </c>
      <c r="J52" s="37">
        <f t="shared" si="14"/>
        <v>0.48045571543682003</v>
      </c>
      <c r="K52" s="37">
        <f t="shared" si="14"/>
        <v>0.48464218736047077</v>
      </c>
      <c r="L52" s="37">
        <f t="shared" si="14"/>
        <v>0.48782330341790398</v>
      </c>
      <c r="M52" s="37">
        <f t="shared" si="14"/>
        <v>0.49108034629977254</v>
      </c>
      <c r="N52" s="37">
        <f t="shared" si="14"/>
        <v>0.49441574579697678</v>
      </c>
      <c r="O52" s="37">
        <f t="shared" si="14"/>
        <v>0.4978320203016478</v>
      </c>
      <c r="P52" s="37">
        <f t="shared" si="14"/>
        <v>0.50078441939159513</v>
      </c>
      <c r="Q52" s="37">
        <f t="shared" si="14"/>
        <v>0.50436582215240366</v>
      </c>
      <c r="R52" s="37">
        <f t="shared" si="14"/>
        <v>0.50693172652564378</v>
      </c>
      <c r="S52" s="37">
        <f t="shared" si="14"/>
        <v>0.50963905654991037</v>
      </c>
      <c r="T52" s="37">
        <f t="shared" si="14"/>
        <v>0.51297665504045942</v>
      </c>
      <c r="U52" s="37">
        <f t="shared" si="14"/>
        <v>0.51528491494694562</v>
      </c>
      <c r="V52" s="37">
        <f t="shared" si="14"/>
        <v>0.51821549769974529</v>
      </c>
      <c r="W52" s="37">
        <f t="shared" si="14"/>
        <v>0.5212103473451658</v>
      </c>
      <c r="X52" s="37">
        <f t="shared" si="14"/>
        <v>0.52370548705263897</v>
      </c>
      <c r="Y52" s="37">
        <f t="shared" si="14"/>
        <v>0.52737033422936097</v>
      </c>
      <c r="Z52" s="37">
        <f t="shared" si="14"/>
        <v>0.52996473406460864</v>
      </c>
      <c r="AA52" s="37">
        <f t="shared" si="14"/>
        <v>0.53259758576925742</v>
      </c>
      <c r="AB52" s="37">
        <f t="shared" si="14"/>
        <v>0.53526230609484893</v>
      </c>
    </row>
    <row r="53" spans="1:28" x14ac:dyDescent="0.25">
      <c r="A53" s="4" t="s">
        <v>220</v>
      </c>
      <c r="B53" s="37">
        <f t="shared" ref="B53:AB53" si="15">B33*B15*$F$9</f>
        <v>10.450224645859263</v>
      </c>
      <c r="C53" s="37">
        <f t="shared" si="15"/>
        <v>10.557710459567096</v>
      </c>
      <c r="D53" s="37">
        <f t="shared" si="15"/>
        <v>10.607883156328949</v>
      </c>
      <c r="E53" s="37">
        <f t="shared" si="15"/>
        <v>10.672952490719496</v>
      </c>
      <c r="F53" s="37">
        <f t="shared" si="15"/>
        <v>10.732393010722875</v>
      </c>
      <c r="G53" s="37">
        <f t="shared" si="15"/>
        <v>10.779455626539129</v>
      </c>
      <c r="H53" s="37">
        <f t="shared" si="15"/>
        <v>10.855390237401352</v>
      </c>
      <c r="I53" s="37">
        <f t="shared" si="15"/>
        <v>10.935372844969804</v>
      </c>
      <c r="J53" s="37">
        <f t="shared" si="15"/>
        <v>11.024194353776952</v>
      </c>
      <c r="K53" s="37">
        <f t="shared" si="15"/>
        <v>11.094046322398381</v>
      </c>
      <c r="L53" s="37">
        <f t="shared" si="15"/>
        <v>11.172463145781132</v>
      </c>
      <c r="M53" s="37">
        <f t="shared" si="15"/>
        <v>11.231907130781376</v>
      </c>
      <c r="N53" s="37">
        <f t="shared" si="15"/>
        <v>11.306930662825469</v>
      </c>
      <c r="O53" s="37">
        <f t="shared" si="15"/>
        <v>11.369906492684954</v>
      </c>
      <c r="P53" s="37">
        <f t="shared" si="15"/>
        <v>11.420768993894283</v>
      </c>
      <c r="Q53" s="37">
        <f t="shared" si="15"/>
        <v>11.459418162667573</v>
      </c>
      <c r="R53" s="37">
        <f t="shared" si="15"/>
        <v>11.499735955522581</v>
      </c>
      <c r="S53" s="37">
        <f t="shared" si="15"/>
        <v>11.523656055246692</v>
      </c>
      <c r="T53" s="37">
        <f t="shared" si="15"/>
        <v>11.521047021409361</v>
      </c>
      <c r="U53" s="37">
        <f t="shared" si="15"/>
        <v>11.53392734419551</v>
      </c>
      <c r="V53" s="37">
        <f t="shared" si="15"/>
        <v>11.53399713953581</v>
      </c>
      <c r="W53" s="37">
        <f t="shared" si="15"/>
        <v>11.535170097521725</v>
      </c>
      <c r="X53" s="37">
        <f t="shared" si="15"/>
        <v>11.551496145957614</v>
      </c>
      <c r="Y53" s="37">
        <f t="shared" si="15"/>
        <v>11.547372683137635</v>
      </c>
      <c r="Z53" s="37">
        <f t="shared" si="15"/>
        <v>11.565333895092142</v>
      </c>
      <c r="AA53" s="37">
        <f t="shared" si="15"/>
        <v>11.562424481877107</v>
      </c>
      <c r="AB53" s="37">
        <f t="shared" si="15"/>
        <v>11.581415698015563</v>
      </c>
    </row>
    <row r="54" spans="1:28" x14ac:dyDescent="0.25">
      <c r="A54" s="4" t="s">
        <v>221</v>
      </c>
      <c r="B54" s="37">
        <f t="shared" ref="B54:AB54" si="16">B34*B15*$F$10</f>
        <v>3.2742138230057529</v>
      </c>
      <c r="C54" s="37">
        <f t="shared" si="16"/>
        <v>3.2934651421951266</v>
      </c>
      <c r="D54" s="37">
        <f t="shared" si="16"/>
        <v>3.3029855302847571</v>
      </c>
      <c r="E54" s="37">
        <f t="shared" si="16"/>
        <v>3.3137362850013758</v>
      </c>
      <c r="F54" s="37">
        <f t="shared" si="16"/>
        <v>3.3274487703705691</v>
      </c>
      <c r="G54" s="37">
        <f t="shared" si="16"/>
        <v>3.3381921970087971</v>
      </c>
      <c r="H54" s="37">
        <f t="shared" si="16"/>
        <v>3.3485605983217717</v>
      </c>
      <c r="I54" s="37">
        <f t="shared" si="16"/>
        <v>3.3677820953722573</v>
      </c>
      <c r="J54" s="37">
        <f t="shared" si="16"/>
        <v>3.3858902559141009</v>
      </c>
      <c r="K54" s="37">
        <f t="shared" si="16"/>
        <v>3.4027741367477113</v>
      </c>
      <c r="L54" s="37">
        <f t="shared" si="16"/>
        <v>3.4175893377302171</v>
      </c>
      <c r="M54" s="37">
        <f t="shared" si="16"/>
        <v>3.430336520929143</v>
      </c>
      <c r="N54" s="37">
        <f t="shared" si="16"/>
        <v>3.4410114054702161</v>
      </c>
      <c r="O54" s="37">
        <f t="shared" si="16"/>
        <v>3.4496080384083108</v>
      </c>
      <c r="P54" s="37">
        <f t="shared" si="16"/>
        <v>3.4535273138777103</v>
      </c>
      <c r="Q54" s="37">
        <f t="shared" si="16"/>
        <v>3.4553205378250595</v>
      </c>
      <c r="R54" s="37">
        <f t="shared" si="16"/>
        <v>3.4523575591651721</v>
      </c>
      <c r="S54" s="37">
        <f t="shared" si="16"/>
        <v>3.446503470601582</v>
      </c>
      <c r="T54" s="37">
        <f t="shared" si="16"/>
        <v>3.4375898131279703</v>
      </c>
      <c r="U54" s="37">
        <f t="shared" si="16"/>
        <v>3.4255616369705586</v>
      </c>
      <c r="V54" s="37">
        <f t="shared" si="16"/>
        <v>3.4138505972230462</v>
      </c>
      <c r="W54" s="37">
        <f t="shared" si="16"/>
        <v>3.3980203468522951</v>
      </c>
      <c r="X54" s="37">
        <f t="shared" si="16"/>
        <v>3.3867824559384916</v>
      </c>
      <c r="Y54" s="37">
        <f t="shared" si="16"/>
        <v>3.3748463807677402</v>
      </c>
      <c r="Z54" s="37">
        <f t="shared" si="16"/>
        <v>3.3630421840358631</v>
      </c>
      <c r="AA54" s="37">
        <f t="shared" si="16"/>
        <v>3.3522094524555688</v>
      </c>
      <c r="AB54" s="37">
        <f t="shared" si="16"/>
        <v>3.3431992764863629</v>
      </c>
    </row>
    <row r="55" spans="1:28" x14ac:dyDescent="0.25">
      <c r="A55" s="4" t="s">
        <v>222</v>
      </c>
      <c r="B55" s="37">
        <f t="shared" ref="B55:AB55" si="17">B35*B15*$F$11</f>
        <v>52.213954891053646</v>
      </c>
      <c r="C55" s="37">
        <f t="shared" si="17"/>
        <v>51.791013947925606</v>
      </c>
      <c r="D55" s="37">
        <f t="shared" si="17"/>
        <v>51.176308217012064</v>
      </c>
      <c r="E55" s="37">
        <f t="shared" si="17"/>
        <v>50.56210235241668</v>
      </c>
      <c r="F55" s="37">
        <f t="shared" si="17"/>
        <v>49.928770262379743</v>
      </c>
      <c r="G55" s="37">
        <f t="shared" si="17"/>
        <v>49.312170442029164</v>
      </c>
      <c r="H55" s="37">
        <f t="shared" si="17"/>
        <v>48.696601520741986</v>
      </c>
      <c r="I55" s="37">
        <f t="shared" si="17"/>
        <v>48.217786194858228</v>
      </c>
      <c r="J55" s="37">
        <f t="shared" si="17"/>
        <v>47.736755317970093</v>
      </c>
      <c r="K55" s="37">
        <f t="shared" si="17"/>
        <v>47.247709183274466</v>
      </c>
      <c r="L55" s="37">
        <f t="shared" si="17"/>
        <v>46.758569301425368</v>
      </c>
      <c r="M55" s="37">
        <f t="shared" si="17"/>
        <v>46.26525149540587</v>
      </c>
      <c r="N55" s="37">
        <f t="shared" si="17"/>
        <v>45.775639642344217</v>
      </c>
      <c r="O55" s="37">
        <f t="shared" si="17"/>
        <v>45.273513347534063</v>
      </c>
      <c r="P55" s="37">
        <f t="shared" si="17"/>
        <v>44.770701480486593</v>
      </c>
      <c r="Q55" s="37">
        <f t="shared" si="17"/>
        <v>44.266907548306932</v>
      </c>
      <c r="R55" s="37">
        <f t="shared" si="17"/>
        <v>43.765844676209589</v>
      </c>
      <c r="S55" s="37">
        <f t="shared" si="17"/>
        <v>43.2136024333305</v>
      </c>
      <c r="T55" s="37">
        <f t="shared" si="17"/>
        <v>42.672780646088107</v>
      </c>
      <c r="U55" s="37">
        <f t="shared" si="17"/>
        <v>42.151040941211555</v>
      </c>
      <c r="V55" s="37">
        <f t="shared" si="17"/>
        <v>41.639607893559159</v>
      </c>
      <c r="W55" s="37">
        <f t="shared" si="17"/>
        <v>41.158361063487149</v>
      </c>
      <c r="X55" s="37">
        <f t="shared" si="17"/>
        <v>40.686196951768459</v>
      </c>
      <c r="Y55" s="37">
        <f t="shared" si="17"/>
        <v>40.235090920513102</v>
      </c>
      <c r="Z55" s="37">
        <f t="shared" si="17"/>
        <v>39.800427073844645</v>
      </c>
      <c r="AA55" s="37">
        <f t="shared" si="17"/>
        <v>39.377564503445754</v>
      </c>
      <c r="AB55" s="37">
        <f t="shared" si="17"/>
        <v>38.970185921753256</v>
      </c>
    </row>
    <row r="57" spans="1:28" x14ac:dyDescent="0.25">
      <c r="A57" s="4" t="s">
        <v>327</v>
      </c>
    </row>
    <row r="58" spans="1:28" x14ac:dyDescent="0.25">
      <c r="A58" s="4" t="s">
        <v>215</v>
      </c>
      <c r="B58" s="37">
        <f t="shared" ref="B58:AB58" si="18">B38*B15*$F$4</f>
        <v>5156.4103284833946</v>
      </c>
      <c r="C58" s="37">
        <f t="shared" si="18"/>
        <v>5259.296800517026</v>
      </c>
      <c r="D58" s="37">
        <f t="shared" si="18"/>
        <v>5343.1397422456312</v>
      </c>
      <c r="E58" s="37">
        <f t="shared" si="18"/>
        <v>5426.983900005197</v>
      </c>
      <c r="F58" s="37">
        <f t="shared" si="18"/>
        <v>5511.2991950680316</v>
      </c>
      <c r="G58" s="37">
        <f t="shared" si="18"/>
        <v>5596.2523674792374</v>
      </c>
      <c r="H58" s="37">
        <f t="shared" si="18"/>
        <v>5681.4648986097691</v>
      </c>
      <c r="I58" s="37">
        <f t="shared" si="18"/>
        <v>5782.3757776148595</v>
      </c>
      <c r="J58" s="37">
        <f t="shared" si="18"/>
        <v>5882.8081171495387</v>
      </c>
      <c r="K58" s="37">
        <f t="shared" si="18"/>
        <v>5982.6552363410638</v>
      </c>
      <c r="L58" s="37">
        <f t="shared" si="18"/>
        <v>6081.4048383423133</v>
      </c>
      <c r="M58" s="37">
        <f t="shared" si="18"/>
        <v>6178.9455985129298</v>
      </c>
      <c r="N58" s="37">
        <f t="shared" si="18"/>
        <v>6274.6337764714453</v>
      </c>
      <c r="O58" s="37">
        <f t="shared" si="18"/>
        <v>6368.2160385657862</v>
      </c>
      <c r="P58" s="37">
        <f t="shared" si="18"/>
        <v>6458.8536126323015</v>
      </c>
      <c r="Q58" s="37">
        <f t="shared" si="18"/>
        <v>6546.3874593164919</v>
      </c>
      <c r="R58" s="37">
        <f t="shared" si="18"/>
        <v>6629.7913567710775</v>
      </c>
      <c r="S58" s="37">
        <f t="shared" si="18"/>
        <v>6702.6741432079043</v>
      </c>
      <c r="T58" s="37">
        <f t="shared" si="18"/>
        <v>6770.9722461988695</v>
      </c>
      <c r="U58" s="37">
        <f t="shared" si="18"/>
        <v>6835.0020615394978</v>
      </c>
      <c r="V58" s="37">
        <f t="shared" si="18"/>
        <v>6893.0676921455433</v>
      </c>
      <c r="W58" s="37">
        <f t="shared" si="18"/>
        <v>6945.5084559924326</v>
      </c>
      <c r="X58" s="37">
        <f t="shared" si="18"/>
        <v>6991.8737837649796</v>
      </c>
      <c r="Y58" s="37">
        <f t="shared" si="18"/>
        <v>7034.9850343534818</v>
      </c>
      <c r="Z58" s="37">
        <f t="shared" si="18"/>
        <v>7072.2179521775688</v>
      </c>
      <c r="AA58" s="37">
        <f t="shared" si="18"/>
        <v>7103.9345336748993</v>
      </c>
      <c r="AB58" s="37">
        <f t="shared" si="18"/>
        <v>7130.7090038258066</v>
      </c>
    </row>
    <row r="59" spans="1:28" x14ac:dyDescent="0.25">
      <c r="A59" s="4" t="s">
        <v>216</v>
      </c>
      <c r="B59" s="37">
        <f t="shared" ref="B59:AB59" si="19">B39*B15*$F$5</f>
        <v>4638.1208750906762</v>
      </c>
      <c r="C59" s="37">
        <f t="shared" si="19"/>
        <v>4718.4130296868407</v>
      </c>
      <c r="D59" s="37">
        <f t="shared" si="19"/>
        <v>4781.9611733701558</v>
      </c>
      <c r="E59" s="37">
        <f t="shared" si="19"/>
        <v>4848.0022803985885</v>
      </c>
      <c r="F59" s="37">
        <f t="shared" si="19"/>
        <v>4917.9045626003026</v>
      </c>
      <c r="G59" s="37">
        <f t="shared" si="19"/>
        <v>4991.9245951269668</v>
      </c>
      <c r="H59" s="37">
        <f t="shared" si="19"/>
        <v>5070.5206759061239</v>
      </c>
      <c r="I59" s="37">
        <f t="shared" si="19"/>
        <v>5167.3028538619155</v>
      </c>
      <c r="J59" s="37">
        <f t="shared" si="19"/>
        <v>5268.3525496157845</v>
      </c>
      <c r="K59" s="37">
        <f t="shared" si="19"/>
        <v>5372.3546691580759</v>
      </c>
      <c r="L59" s="37">
        <f t="shared" si="19"/>
        <v>5479.2226430371702</v>
      </c>
      <c r="M59" s="37">
        <f t="shared" si="19"/>
        <v>5588.6459821414583</v>
      </c>
      <c r="N59" s="37">
        <f t="shared" si="19"/>
        <v>5699.4499116307024</v>
      </c>
      <c r="O59" s="37">
        <f t="shared" si="19"/>
        <v>5810.5037493182754</v>
      </c>
      <c r="P59" s="37">
        <f t="shared" si="19"/>
        <v>5921.5553502344219</v>
      </c>
      <c r="Q59" s="37">
        <f t="shared" si="19"/>
        <v>6030.9684116822491</v>
      </c>
      <c r="R59" s="37">
        <f t="shared" si="19"/>
        <v>6138.2669162328748</v>
      </c>
      <c r="S59" s="37">
        <f t="shared" si="19"/>
        <v>6236.3475574923286</v>
      </c>
      <c r="T59" s="37">
        <f t="shared" si="19"/>
        <v>6330.5637235403019</v>
      </c>
      <c r="U59" s="37">
        <f t="shared" si="19"/>
        <v>6420.2925460620063</v>
      </c>
      <c r="V59" s="37">
        <f t="shared" si="19"/>
        <v>6504.0314637242482</v>
      </c>
      <c r="W59" s="37">
        <f t="shared" si="19"/>
        <v>6580.4045175079636</v>
      </c>
      <c r="X59" s="37">
        <f t="shared" si="19"/>
        <v>6649.6832631488542</v>
      </c>
      <c r="Y59" s="37">
        <f t="shared" si="19"/>
        <v>6714.8964598162438</v>
      </c>
      <c r="Z59" s="37">
        <f t="shared" si="19"/>
        <v>6773.0935754799366</v>
      </c>
      <c r="AA59" s="37">
        <f t="shared" si="19"/>
        <v>6823.1434358306751</v>
      </c>
      <c r="AB59" s="37">
        <f t="shared" si="19"/>
        <v>6865.0658740686267</v>
      </c>
    </row>
    <row r="60" spans="1:28" x14ac:dyDescent="0.25">
      <c r="A60" s="4" t="s">
        <v>217</v>
      </c>
      <c r="B60" s="37">
        <f t="shared" ref="B60:AB60" si="20">B40*B15*$F$6</f>
        <v>9350.4792310089615</v>
      </c>
      <c r="C60" s="37">
        <f t="shared" si="20"/>
        <v>9523.1586149357499</v>
      </c>
      <c r="D60" s="37">
        <f t="shared" si="20"/>
        <v>9660.9051918910172</v>
      </c>
      <c r="E60" s="37">
        <f t="shared" si="20"/>
        <v>9800.1795866800603</v>
      </c>
      <c r="F60" s="37">
        <f t="shared" si="20"/>
        <v>9942.9965941050978</v>
      </c>
      <c r="G60" s="37">
        <f t="shared" si="20"/>
        <v>10089.405082339221</v>
      </c>
      <c r="H60" s="37">
        <f t="shared" si="20"/>
        <v>10239.7843558198</v>
      </c>
      <c r="I60" s="37">
        <f t="shared" si="20"/>
        <v>10421.568470489328</v>
      </c>
      <c r="J60" s="37">
        <f t="shared" si="20"/>
        <v>10606.223529595483</v>
      </c>
      <c r="K60" s="37">
        <f t="shared" si="20"/>
        <v>10791.897061647349</v>
      </c>
      <c r="L60" s="37">
        <f t="shared" si="20"/>
        <v>10978.029721823306</v>
      </c>
      <c r="M60" s="37">
        <f t="shared" si="20"/>
        <v>11164.204088590372</v>
      </c>
      <c r="N60" s="37">
        <f t="shared" si="20"/>
        <v>11348.395718484127</v>
      </c>
      <c r="O60" s="37">
        <f t="shared" si="20"/>
        <v>11529.462141494212</v>
      </c>
      <c r="P60" s="37">
        <f t="shared" si="20"/>
        <v>11705.889710460033</v>
      </c>
      <c r="Q60" s="37">
        <f t="shared" si="20"/>
        <v>11876.059803689448</v>
      </c>
      <c r="R60" s="37">
        <f t="shared" si="20"/>
        <v>12038.39226211867</v>
      </c>
      <c r="S60" s="37">
        <f t="shared" si="20"/>
        <v>12180.123935098649</v>
      </c>
      <c r="T60" s="37">
        <f t="shared" si="20"/>
        <v>12311.953403087164</v>
      </c>
      <c r="U60" s="37">
        <f t="shared" si="20"/>
        <v>12433.753597720064</v>
      </c>
      <c r="V60" s="37">
        <f t="shared" si="20"/>
        <v>12542.08664653607</v>
      </c>
      <c r="W60" s="37">
        <f t="shared" si="20"/>
        <v>12635.852281260151</v>
      </c>
      <c r="X60" s="37">
        <f t="shared" si="20"/>
        <v>12715.151336321866</v>
      </c>
      <c r="Y60" s="37">
        <f t="shared" si="20"/>
        <v>12786.326088073733</v>
      </c>
      <c r="Z60" s="37">
        <f t="shared" si="20"/>
        <v>12843.524015789455</v>
      </c>
      <c r="AA60" s="37">
        <f t="shared" si="20"/>
        <v>12885.778237673709</v>
      </c>
      <c r="AB60" s="37">
        <f t="shared" si="20"/>
        <v>12914.010871218108</v>
      </c>
    </row>
    <row r="61" spans="1:28" x14ac:dyDescent="0.25">
      <c r="A61" s="4" t="s">
        <v>218</v>
      </c>
      <c r="B61" s="37">
        <f t="shared" ref="B61:AB61" si="21">B41*B15*$F$7</f>
        <v>59.450671320957667</v>
      </c>
      <c r="C61" s="37">
        <f t="shared" si="21"/>
        <v>60.450546072853371</v>
      </c>
      <c r="D61" s="37">
        <f t="shared" si="21"/>
        <v>61.238508307607681</v>
      </c>
      <c r="E61" s="37">
        <f t="shared" si="21"/>
        <v>62.03388373241259</v>
      </c>
      <c r="F61" s="37">
        <f t="shared" si="21"/>
        <v>62.857073680645669</v>
      </c>
      <c r="G61" s="37">
        <f t="shared" si="21"/>
        <v>63.709915315494555</v>
      </c>
      <c r="H61" s="37">
        <f t="shared" si="21"/>
        <v>64.591029226002291</v>
      </c>
      <c r="I61" s="37">
        <f t="shared" si="21"/>
        <v>65.68252817409892</v>
      </c>
      <c r="J61" s="37">
        <f t="shared" si="21"/>
        <v>66.80589433146605</v>
      </c>
      <c r="K61" s="37">
        <f t="shared" si="21"/>
        <v>67.957264214309731</v>
      </c>
      <c r="L61" s="37">
        <f t="shared" si="21"/>
        <v>69.137109531439435</v>
      </c>
      <c r="M61" s="37">
        <f t="shared" si="21"/>
        <v>70.342258102903699</v>
      </c>
      <c r="N61" s="37">
        <f t="shared" si="21"/>
        <v>71.576416444175976</v>
      </c>
      <c r="O61" s="37">
        <f t="shared" si="21"/>
        <v>72.821792538328296</v>
      </c>
      <c r="P61" s="37">
        <f t="shared" si="21"/>
        <v>74.086610421014115</v>
      </c>
      <c r="Q61" s="37">
        <f t="shared" si="21"/>
        <v>75.356024727617964</v>
      </c>
      <c r="R61" s="37">
        <f t="shared" si="21"/>
        <v>76.628306398121595</v>
      </c>
      <c r="S61" s="37">
        <f t="shared" si="21"/>
        <v>77.829357071697785</v>
      </c>
      <c r="T61" s="37">
        <f t="shared" si="21"/>
        <v>79.016832107374228</v>
      </c>
      <c r="U61" s="37">
        <f t="shared" si="21"/>
        <v>80.191725898391311</v>
      </c>
      <c r="V61" s="37">
        <f t="shared" si="21"/>
        <v>81.344421723231264</v>
      </c>
      <c r="W61" s="37">
        <f t="shared" si="21"/>
        <v>82.45942069143338</v>
      </c>
      <c r="X61" s="37">
        <f t="shared" si="21"/>
        <v>83.530621970805953</v>
      </c>
      <c r="Y61" s="37">
        <f t="shared" si="21"/>
        <v>84.578574018670906</v>
      </c>
      <c r="Z61" s="37">
        <f t="shared" si="21"/>
        <v>85.579452084932242</v>
      </c>
      <c r="AA61" s="37">
        <f t="shared" si="21"/>
        <v>86.531836492031218</v>
      </c>
      <c r="AB61" s="37">
        <f t="shared" si="21"/>
        <v>87.426019044959617</v>
      </c>
    </row>
    <row r="62" spans="1:28" x14ac:dyDescent="0.25">
      <c r="A62" s="4" t="s">
        <v>219</v>
      </c>
      <c r="B62" s="37">
        <f t="shared" ref="B62:AB62" si="22">B42*B15*$F$8</f>
        <v>65.855782807598331</v>
      </c>
      <c r="C62" s="37">
        <f t="shared" si="22"/>
        <v>67.521403174963211</v>
      </c>
      <c r="D62" s="37">
        <f t="shared" si="22"/>
        <v>68.99950822404746</v>
      </c>
      <c r="E62" s="37">
        <f t="shared" si="22"/>
        <v>70.582074824659784</v>
      </c>
      <c r="F62" s="37">
        <f t="shared" si="22"/>
        <v>72.289851846842666</v>
      </c>
      <c r="G62" s="37">
        <f t="shared" si="22"/>
        <v>74.121724332635139</v>
      </c>
      <c r="H62" s="37">
        <f t="shared" si="22"/>
        <v>76.083043401875358</v>
      </c>
      <c r="I62" s="37">
        <f t="shared" si="22"/>
        <v>78.388874972063505</v>
      </c>
      <c r="J62" s="37">
        <f t="shared" si="22"/>
        <v>80.796366529956643</v>
      </c>
      <c r="K62" s="37">
        <f t="shared" si="22"/>
        <v>83.290379397007186</v>
      </c>
      <c r="L62" s="37">
        <f t="shared" si="22"/>
        <v>85.893176830329125</v>
      </c>
      <c r="M62" s="37">
        <f t="shared" si="22"/>
        <v>88.589266581828241</v>
      </c>
      <c r="N62" s="37">
        <f t="shared" si="22"/>
        <v>91.368464952650541</v>
      </c>
      <c r="O62" s="37">
        <f t="shared" si="22"/>
        <v>94.21566406556498</v>
      </c>
      <c r="P62" s="37">
        <f t="shared" si="22"/>
        <v>97.123201844253558</v>
      </c>
      <c r="Q62" s="37">
        <f t="shared" si="22"/>
        <v>100.07330602339337</v>
      </c>
      <c r="R62" s="37">
        <f t="shared" si="22"/>
        <v>103.05724065969646</v>
      </c>
      <c r="S62" s="37">
        <f t="shared" si="22"/>
        <v>105.95643918186634</v>
      </c>
      <c r="T62" s="37">
        <f t="shared" si="22"/>
        <v>108.86921771914646</v>
      </c>
      <c r="U62" s="37">
        <f t="shared" si="22"/>
        <v>111.77199509546281</v>
      </c>
      <c r="V62" s="37">
        <f t="shared" si="22"/>
        <v>114.66821747869814</v>
      </c>
      <c r="W62" s="37">
        <f t="shared" si="22"/>
        <v>117.54989908470631</v>
      </c>
      <c r="X62" s="37">
        <f t="shared" si="22"/>
        <v>120.42660658823642</v>
      </c>
      <c r="Y62" s="37">
        <f t="shared" si="22"/>
        <v>123.29001248483802</v>
      </c>
      <c r="Z62" s="37">
        <f t="shared" si="22"/>
        <v>126.1433837014672</v>
      </c>
      <c r="AA62" s="37">
        <f t="shared" si="22"/>
        <v>128.9847870203277</v>
      </c>
      <c r="AB62" s="37">
        <f t="shared" si="22"/>
        <v>131.80425367488795</v>
      </c>
    </row>
    <row r="63" spans="1:28" x14ac:dyDescent="0.25">
      <c r="A63" s="4" t="s">
        <v>220</v>
      </c>
      <c r="B63" s="37">
        <f t="shared" ref="B63:AB63" si="23">B43*B15*$F$9</f>
        <v>460.78055745803567</v>
      </c>
      <c r="C63" s="37">
        <f t="shared" si="23"/>
        <v>471.77311931441136</v>
      </c>
      <c r="D63" s="37">
        <f t="shared" si="23"/>
        <v>481.52630413261926</v>
      </c>
      <c r="E63" s="37">
        <f t="shared" si="23"/>
        <v>492.19285993583316</v>
      </c>
      <c r="F63" s="37">
        <f t="shared" si="23"/>
        <v>502.96083485993171</v>
      </c>
      <c r="G63" s="37">
        <f t="shared" si="23"/>
        <v>514.5493993479447</v>
      </c>
      <c r="H63" s="37">
        <f t="shared" si="23"/>
        <v>526.493271022312</v>
      </c>
      <c r="I63" s="37">
        <f t="shared" si="23"/>
        <v>540.16628234271832</v>
      </c>
      <c r="J63" s="37">
        <f t="shared" si="23"/>
        <v>554.18384613444596</v>
      </c>
      <c r="K63" s="37">
        <f t="shared" si="23"/>
        <v>569.14797569232235</v>
      </c>
      <c r="L63" s="37">
        <f t="shared" si="23"/>
        <v>584.51982340782706</v>
      </c>
      <c r="M63" s="37">
        <f t="shared" si="23"/>
        <v>600.48194701154648</v>
      </c>
      <c r="N63" s="37">
        <f t="shared" si="23"/>
        <v>616.77505416465169</v>
      </c>
      <c r="O63" s="37">
        <f t="shared" si="23"/>
        <v>633.45034327785766</v>
      </c>
      <c r="P63" s="37">
        <f t="shared" si="23"/>
        <v>650.67742177652815</v>
      </c>
      <c r="Q63" s="37">
        <f t="shared" si="23"/>
        <v>668.37527799222346</v>
      </c>
      <c r="R63" s="37">
        <f t="shared" si="23"/>
        <v>686.41937925500827</v>
      </c>
      <c r="S63" s="37">
        <f t="shared" si="23"/>
        <v>703.93256596188121</v>
      </c>
      <c r="T63" s="37">
        <f t="shared" si="23"/>
        <v>721.75350433572748</v>
      </c>
      <c r="U63" s="37">
        <f t="shared" si="23"/>
        <v>739.69416684168266</v>
      </c>
      <c r="V63" s="37">
        <f t="shared" si="23"/>
        <v>757.54049350034586</v>
      </c>
      <c r="W63" s="37">
        <f t="shared" si="23"/>
        <v>775.75436002897163</v>
      </c>
      <c r="X63" s="37">
        <f t="shared" si="23"/>
        <v>793.96288916117896</v>
      </c>
      <c r="Y63" s="37">
        <f t="shared" si="23"/>
        <v>812.39079304773736</v>
      </c>
      <c r="Z63" s="37">
        <f t="shared" si="23"/>
        <v>830.72528968138363</v>
      </c>
      <c r="AA63" s="37">
        <f t="shared" si="23"/>
        <v>849.08599708178576</v>
      </c>
      <c r="AB63" s="37">
        <f t="shared" si="23"/>
        <v>867.60034720369686</v>
      </c>
    </row>
    <row r="64" spans="1:28" x14ac:dyDescent="0.25">
      <c r="A64" s="4" t="s">
        <v>221</v>
      </c>
      <c r="B64" s="37">
        <f t="shared" ref="B64:AB64" si="24">B44*B15*$F$10</f>
        <v>213.18618458617775</v>
      </c>
      <c r="C64" s="37">
        <f t="shared" si="24"/>
        <v>221.08057207689865</v>
      </c>
      <c r="D64" s="37">
        <f t="shared" si="24"/>
        <v>228.35094570495369</v>
      </c>
      <c r="E64" s="37">
        <f t="shared" si="24"/>
        <v>235.80288704575531</v>
      </c>
      <c r="F64" s="37">
        <f t="shared" si="24"/>
        <v>243.43992473503516</v>
      </c>
      <c r="G64" s="37">
        <f t="shared" si="24"/>
        <v>251.29272750151833</v>
      </c>
      <c r="H64" s="37">
        <f t="shared" si="24"/>
        <v>259.44437330267255</v>
      </c>
      <c r="I64" s="37">
        <f t="shared" si="24"/>
        <v>268.63134682996031</v>
      </c>
      <c r="J64" s="37">
        <f t="shared" si="24"/>
        <v>278.09717465907283</v>
      </c>
      <c r="K64" s="37">
        <f t="shared" si="24"/>
        <v>287.90894980013542</v>
      </c>
      <c r="L64" s="37">
        <f t="shared" si="24"/>
        <v>298.11934098524318</v>
      </c>
      <c r="M64" s="37">
        <f t="shared" si="24"/>
        <v>308.65924947562957</v>
      </c>
      <c r="N64" s="37">
        <f t="shared" si="24"/>
        <v>319.61256648340969</v>
      </c>
      <c r="O64" s="37">
        <f t="shared" si="24"/>
        <v>330.93016172200953</v>
      </c>
      <c r="P64" s="37">
        <f t="shared" si="24"/>
        <v>342.60111948799982</v>
      </c>
      <c r="Q64" s="37">
        <f t="shared" si="24"/>
        <v>354.64420789351709</v>
      </c>
      <c r="R64" s="37">
        <f t="shared" si="24"/>
        <v>366.9914188370841</v>
      </c>
      <c r="S64" s="37">
        <f t="shared" si="24"/>
        <v>379.28223216111996</v>
      </c>
      <c r="T64" s="37">
        <f t="shared" si="24"/>
        <v>391.8538849511433</v>
      </c>
      <c r="U64" s="37">
        <f t="shared" si="24"/>
        <v>404.68244286541642</v>
      </c>
      <c r="V64" s="37">
        <f t="shared" si="24"/>
        <v>417.71581866657169</v>
      </c>
      <c r="W64" s="37">
        <f t="shared" si="24"/>
        <v>430.89758195951993</v>
      </c>
      <c r="X64" s="37">
        <f t="shared" si="24"/>
        <v>444.2807616212757</v>
      </c>
      <c r="Y64" s="37">
        <f t="shared" si="24"/>
        <v>457.77682978729126</v>
      </c>
      <c r="Z64" s="37">
        <f t="shared" si="24"/>
        <v>471.37963127980424</v>
      </c>
      <c r="AA64" s="37">
        <f t="shared" si="24"/>
        <v>484.98283189509942</v>
      </c>
      <c r="AB64" s="37">
        <f t="shared" si="24"/>
        <v>498.57171732850696</v>
      </c>
    </row>
    <row r="65" spans="1:28" x14ac:dyDescent="0.25">
      <c r="A65" s="4" t="s">
        <v>222</v>
      </c>
      <c r="B65" s="37">
        <f t="shared" ref="B65:AB65" si="25">B45*B15*$F$11</f>
        <v>10561.66818344915</v>
      </c>
      <c r="C65" s="37">
        <f t="shared" si="25"/>
        <v>10740.554570681445</v>
      </c>
      <c r="D65" s="37">
        <f t="shared" si="25"/>
        <v>10880.135042036791</v>
      </c>
      <c r="E65" s="37">
        <f t="shared" si="25"/>
        <v>11021.876484330503</v>
      </c>
      <c r="F65" s="37">
        <f t="shared" si="25"/>
        <v>11167.957617976517</v>
      </c>
      <c r="G65" s="37">
        <f t="shared" si="25"/>
        <v>11318.737294158305</v>
      </c>
      <c r="H65" s="37">
        <f t="shared" si="25"/>
        <v>11473.942169277658</v>
      </c>
      <c r="I65" s="37">
        <f t="shared" si="25"/>
        <v>11664.40073324108</v>
      </c>
      <c r="J65" s="37">
        <f t="shared" si="25"/>
        <v>11858.152705537806</v>
      </c>
      <c r="K65" s="37">
        <f t="shared" si="25"/>
        <v>12053.172485922572</v>
      </c>
      <c r="L65" s="37">
        <f t="shared" si="25"/>
        <v>12248.516653242728</v>
      </c>
      <c r="M65" s="37">
        <f t="shared" si="25"/>
        <v>12444.005354248713</v>
      </c>
      <c r="N65" s="37">
        <f t="shared" si="25"/>
        <v>12637.082966649414</v>
      </c>
      <c r="O65" s="37">
        <f t="shared" si="25"/>
        <v>12826.321571327077</v>
      </c>
      <c r="P65" s="37">
        <f t="shared" si="25"/>
        <v>13010.498360517126</v>
      </c>
      <c r="Q65" s="37">
        <f t="shared" si="25"/>
        <v>13187.36576569685</v>
      </c>
      <c r="R65" s="37">
        <f t="shared" si="25"/>
        <v>13355.481475506847</v>
      </c>
      <c r="S65" s="37">
        <f t="shared" si="25"/>
        <v>13500.570235015393</v>
      </c>
      <c r="T65" s="37">
        <f t="shared" si="25"/>
        <v>13634.377777601972</v>
      </c>
      <c r="U65" s="37">
        <f t="shared" si="25"/>
        <v>13756.629834615074</v>
      </c>
      <c r="V65" s="37">
        <f t="shared" si="25"/>
        <v>13863.79592813938</v>
      </c>
      <c r="W65" s="37">
        <f t="shared" si="25"/>
        <v>13954.871182514129</v>
      </c>
      <c r="X65" s="37">
        <f t="shared" si="25"/>
        <v>14029.41426805387</v>
      </c>
      <c r="Y65" s="37">
        <f t="shared" si="25"/>
        <v>14094.758171757341</v>
      </c>
      <c r="Z65" s="37">
        <f t="shared" si="25"/>
        <v>14144.335780810701</v>
      </c>
      <c r="AA65" s="37">
        <f t="shared" si="25"/>
        <v>14177.697809107804</v>
      </c>
      <c r="AB65" s="37">
        <f t="shared" si="25"/>
        <v>14195.600854800727</v>
      </c>
    </row>
    <row r="67" spans="1:28" x14ac:dyDescent="0.25">
      <c r="A67" s="4" t="s">
        <v>328</v>
      </c>
    </row>
    <row r="68" spans="1:28" x14ac:dyDescent="0.25">
      <c r="A68" s="4" t="s">
        <v>329</v>
      </c>
      <c r="B68" s="40">
        <f t="shared" ref="B68:AB68" si="26">B48+B49</f>
        <v>57.33665169847071</v>
      </c>
      <c r="C68" s="40">
        <f t="shared" si="26"/>
        <v>57.052944869275969</v>
      </c>
      <c r="D68" s="40">
        <f t="shared" si="26"/>
        <v>56.567721008137717</v>
      </c>
      <c r="E68" s="40">
        <f t="shared" si="26"/>
        <v>56.087900269528902</v>
      </c>
      <c r="F68" s="40">
        <f t="shared" si="26"/>
        <v>55.603659938155147</v>
      </c>
      <c r="G68" s="40">
        <f t="shared" si="26"/>
        <v>55.121687090768845</v>
      </c>
      <c r="H68" s="40">
        <f t="shared" si="26"/>
        <v>54.639051832106297</v>
      </c>
      <c r="I68" s="40">
        <f t="shared" si="26"/>
        <v>54.308272785797811</v>
      </c>
      <c r="J68" s="40">
        <f t="shared" si="26"/>
        <v>53.970477884733505</v>
      </c>
      <c r="K68" s="40">
        <f t="shared" si="26"/>
        <v>53.621563387342597</v>
      </c>
      <c r="L68" s="40">
        <f t="shared" si="26"/>
        <v>53.263779096034973</v>
      </c>
      <c r="M68" s="40">
        <f t="shared" si="26"/>
        <v>52.894778261478635</v>
      </c>
      <c r="N68" s="40">
        <f t="shared" si="26"/>
        <v>52.521221877550751</v>
      </c>
      <c r="O68" s="40">
        <f t="shared" si="26"/>
        <v>52.12756711774901</v>
      </c>
      <c r="P68" s="40">
        <f t="shared" si="26"/>
        <v>51.715751257203138</v>
      </c>
      <c r="Q68" s="40">
        <f t="shared" si="26"/>
        <v>51.294076257175846</v>
      </c>
      <c r="R68" s="40">
        <f t="shared" si="26"/>
        <v>50.856148813495963</v>
      </c>
      <c r="S68" s="40">
        <f t="shared" si="26"/>
        <v>50.363096812196645</v>
      </c>
      <c r="T68" s="40">
        <f t="shared" si="26"/>
        <v>49.86773262769411</v>
      </c>
      <c r="U68" s="40">
        <f t="shared" si="26"/>
        <v>49.376173096372845</v>
      </c>
      <c r="V68" s="40">
        <f t="shared" si="26"/>
        <v>48.894446979183243</v>
      </c>
      <c r="W68" s="40">
        <f t="shared" si="26"/>
        <v>48.421936944472066</v>
      </c>
      <c r="X68" s="40">
        <f t="shared" si="26"/>
        <v>47.976015757654025</v>
      </c>
      <c r="Y68" s="40">
        <f t="shared" si="26"/>
        <v>47.544846739395545</v>
      </c>
      <c r="Z68" s="40">
        <f t="shared" si="26"/>
        <v>47.128576973661765</v>
      </c>
      <c r="AA68" s="40">
        <f t="shared" si="26"/>
        <v>46.72599469246768</v>
      </c>
      <c r="AB68" s="40">
        <f t="shared" si="26"/>
        <v>46.34328272802793</v>
      </c>
    </row>
    <row r="69" spans="1:28" x14ac:dyDescent="0.25">
      <c r="A69" s="4" t="s">
        <v>330</v>
      </c>
      <c r="B69" s="40">
        <f t="shared" ref="B69:AB69" si="27">B50+B51+B52+B53</f>
        <v>51.005741845530736</v>
      </c>
      <c r="C69" s="40">
        <f t="shared" si="27"/>
        <v>50.913993659145071</v>
      </c>
      <c r="D69" s="40">
        <f t="shared" si="27"/>
        <v>50.628986394752445</v>
      </c>
      <c r="E69" s="40">
        <f t="shared" si="27"/>
        <v>50.357254216880833</v>
      </c>
      <c r="F69" s="40">
        <f t="shared" si="27"/>
        <v>50.08199315538058</v>
      </c>
      <c r="G69" s="40">
        <f t="shared" si="27"/>
        <v>49.800804104924154</v>
      </c>
      <c r="H69" s="40">
        <f t="shared" si="27"/>
        <v>49.538823242398259</v>
      </c>
      <c r="I69" s="40">
        <f t="shared" si="27"/>
        <v>49.396891155912684</v>
      </c>
      <c r="J69" s="40">
        <f t="shared" si="27"/>
        <v>49.249053415464786</v>
      </c>
      <c r="K69" s="40">
        <f t="shared" si="27"/>
        <v>49.071115285979786</v>
      </c>
      <c r="L69" s="40">
        <f t="shared" si="27"/>
        <v>48.884740099556169</v>
      </c>
      <c r="M69" s="40">
        <f t="shared" si="27"/>
        <v>48.663522795214874</v>
      </c>
      <c r="N69" s="40">
        <f t="shared" si="27"/>
        <v>48.441356193098898</v>
      </c>
      <c r="O69" s="40">
        <f t="shared" si="27"/>
        <v>48.178854175161966</v>
      </c>
      <c r="P69" s="40">
        <f t="shared" si="27"/>
        <v>47.890705134962303</v>
      </c>
      <c r="Q69" s="40">
        <f t="shared" si="27"/>
        <v>47.573876192584898</v>
      </c>
      <c r="R69" s="40">
        <f t="shared" si="27"/>
        <v>47.240038044214806</v>
      </c>
      <c r="S69" s="40">
        <f t="shared" si="27"/>
        <v>46.846509091988402</v>
      </c>
      <c r="T69" s="40">
        <f t="shared" si="27"/>
        <v>46.429981583529532</v>
      </c>
      <c r="U69" s="40">
        <f t="shared" si="27"/>
        <v>46.030193519674555</v>
      </c>
      <c r="V69" s="40">
        <f t="shared" si="27"/>
        <v>45.624375069190464</v>
      </c>
      <c r="W69" s="40">
        <f t="shared" si="27"/>
        <v>45.233027781597372</v>
      </c>
      <c r="X69" s="40">
        <f t="shared" si="27"/>
        <v>44.87377563933935</v>
      </c>
      <c r="Y69" s="40">
        <f t="shared" si="27"/>
        <v>44.504341129339906</v>
      </c>
      <c r="Z69" s="40">
        <f t="shared" si="27"/>
        <v>44.168199756792248</v>
      </c>
      <c r="AA69" s="40">
        <f t="shared" si="27"/>
        <v>43.831748801007919</v>
      </c>
      <c r="AB69" s="40">
        <f t="shared" si="27"/>
        <v>43.528787935476117</v>
      </c>
    </row>
    <row r="70" spans="1:28" x14ac:dyDescent="0.25">
      <c r="A70" s="4" t="s">
        <v>331</v>
      </c>
      <c r="B70" s="40">
        <f t="shared" ref="B70:AB70" si="28">B54+B55</f>
        <v>55.488168714059398</v>
      </c>
      <c r="C70" s="40">
        <f t="shared" si="28"/>
        <v>55.08447909012073</v>
      </c>
      <c r="D70" s="40">
        <f t="shared" si="28"/>
        <v>54.479293747296822</v>
      </c>
      <c r="E70" s="40">
        <f t="shared" si="28"/>
        <v>53.875838637418056</v>
      </c>
      <c r="F70" s="40">
        <f t="shared" si="28"/>
        <v>53.256219032750309</v>
      </c>
      <c r="G70" s="40">
        <f t="shared" si="28"/>
        <v>52.650362639037958</v>
      </c>
      <c r="H70" s="40">
        <f t="shared" si="28"/>
        <v>52.045162119063761</v>
      </c>
      <c r="I70" s="40">
        <f t="shared" si="28"/>
        <v>51.585568290230484</v>
      </c>
      <c r="J70" s="40">
        <f t="shared" si="28"/>
        <v>51.122645573884192</v>
      </c>
      <c r="K70" s="40">
        <f t="shared" si="28"/>
        <v>50.650483320022175</v>
      </c>
      <c r="L70" s="40">
        <f t="shared" si="28"/>
        <v>50.176158639155588</v>
      </c>
      <c r="M70" s="40">
        <f t="shared" si="28"/>
        <v>49.695588016335016</v>
      </c>
      <c r="N70" s="40">
        <f t="shared" si="28"/>
        <v>49.21665104781443</v>
      </c>
      <c r="O70" s="40">
        <f t="shared" si="28"/>
        <v>48.723121385942378</v>
      </c>
      <c r="P70" s="40">
        <f t="shared" si="28"/>
        <v>48.224228794364301</v>
      </c>
      <c r="Q70" s="40">
        <f t="shared" si="28"/>
        <v>47.722228086131992</v>
      </c>
      <c r="R70" s="40">
        <f t="shared" si="28"/>
        <v>47.218202235374761</v>
      </c>
      <c r="S70" s="40">
        <f t="shared" si="28"/>
        <v>46.660105903932084</v>
      </c>
      <c r="T70" s="40">
        <f t="shared" si="28"/>
        <v>46.110370459216078</v>
      </c>
      <c r="U70" s="40">
        <f t="shared" si="28"/>
        <v>45.576602578182111</v>
      </c>
      <c r="V70" s="40">
        <f t="shared" si="28"/>
        <v>45.053458490782205</v>
      </c>
      <c r="W70" s="40">
        <f t="shared" si="28"/>
        <v>44.556381410339441</v>
      </c>
      <c r="X70" s="40">
        <f t="shared" si="28"/>
        <v>44.072979407706953</v>
      </c>
      <c r="Y70" s="40">
        <f t="shared" si="28"/>
        <v>43.609937301280844</v>
      </c>
      <c r="Z70" s="40">
        <f t="shared" si="28"/>
        <v>43.163469257880507</v>
      </c>
      <c r="AA70" s="40">
        <f t="shared" si="28"/>
        <v>42.729773955901322</v>
      </c>
      <c r="AB70" s="40">
        <f t="shared" si="28"/>
        <v>42.313385198239615</v>
      </c>
    </row>
    <row r="71" spans="1:28" x14ac:dyDescent="0.25">
      <c r="A71" s="4" t="s">
        <v>332</v>
      </c>
      <c r="B71" s="40">
        <f t="shared" ref="B71:AB71" si="29">B58+B59</f>
        <v>9794.5312035740717</v>
      </c>
      <c r="C71" s="40">
        <f t="shared" si="29"/>
        <v>9977.7098302038667</v>
      </c>
      <c r="D71" s="40">
        <f t="shared" si="29"/>
        <v>10125.100915615787</v>
      </c>
      <c r="E71" s="40">
        <f t="shared" si="29"/>
        <v>10274.986180403786</v>
      </c>
      <c r="F71" s="40">
        <f t="shared" si="29"/>
        <v>10429.203757668334</v>
      </c>
      <c r="G71" s="40">
        <f t="shared" si="29"/>
        <v>10588.176962606205</v>
      </c>
      <c r="H71" s="40">
        <f t="shared" si="29"/>
        <v>10751.985574515893</v>
      </c>
      <c r="I71" s="40">
        <f t="shared" si="29"/>
        <v>10949.678631476774</v>
      </c>
      <c r="J71" s="40">
        <f t="shared" si="29"/>
        <v>11151.160666765323</v>
      </c>
      <c r="K71" s="40">
        <f t="shared" si="29"/>
        <v>11355.009905499141</v>
      </c>
      <c r="L71" s="40">
        <f t="shared" si="29"/>
        <v>11560.627481379484</v>
      </c>
      <c r="M71" s="40">
        <f t="shared" si="29"/>
        <v>11767.591580654389</v>
      </c>
      <c r="N71" s="40">
        <f t="shared" si="29"/>
        <v>11974.083688102148</v>
      </c>
      <c r="O71" s="40">
        <f t="shared" si="29"/>
        <v>12178.719787884062</v>
      </c>
      <c r="P71" s="40">
        <f t="shared" si="29"/>
        <v>12380.408962866724</v>
      </c>
      <c r="Q71" s="40">
        <f t="shared" si="29"/>
        <v>12577.355870998741</v>
      </c>
      <c r="R71" s="40">
        <f t="shared" si="29"/>
        <v>12768.058273003953</v>
      </c>
      <c r="S71" s="40">
        <f t="shared" si="29"/>
        <v>12939.021700700232</v>
      </c>
      <c r="T71" s="40">
        <f t="shared" si="29"/>
        <v>13101.535969739172</v>
      </c>
      <c r="U71" s="40">
        <f t="shared" si="29"/>
        <v>13255.294607601503</v>
      </c>
      <c r="V71" s="40">
        <f t="shared" si="29"/>
        <v>13397.099155869792</v>
      </c>
      <c r="W71" s="40">
        <f t="shared" si="29"/>
        <v>13525.912973500395</v>
      </c>
      <c r="X71" s="40">
        <f t="shared" si="29"/>
        <v>13641.557046913833</v>
      </c>
      <c r="Y71" s="40">
        <f t="shared" si="29"/>
        <v>13749.881494169726</v>
      </c>
      <c r="Z71" s="40">
        <f t="shared" si="29"/>
        <v>13845.311527657504</v>
      </c>
      <c r="AA71" s="40">
        <f t="shared" si="29"/>
        <v>13927.077969505575</v>
      </c>
      <c r="AB71" s="40">
        <f t="shared" si="29"/>
        <v>13995.774877894433</v>
      </c>
    </row>
    <row r="72" spans="1:28" x14ac:dyDescent="0.25">
      <c r="A72" s="4" t="s">
        <v>333</v>
      </c>
      <c r="B72" s="40">
        <f t="shared" ref="B72:AB72" si="30">B60+B61+B62+B63</f>
        <v>9936.5662425955543</v>
      </c>
      <c r="C72" s="40">
        <f t="shared" si="30"/>
        <v>10122.90368349798</v>
      </c>
      <c r="D72" s="40">
        <f t="shared" si="30"/>
        <v>10272.669512555292</v>
      </c>
      <c r="E72" s="40">
        <f t="shared" si="30"/>
        <v>10424.988405172966</v>
      </c>
      <c r="F72" s="40">
        <f t="shared" si="30"/>
        <v>10581.104354492518</v>
      </c>
      <c r="G72" s="40">
        <f t="shared" si="30"/>
        <v>10741.786121335295</v>
      </c>
      <c r="H72" s="40">
        <f t="shared" si="30"/>
        <v>10906.951699469988</v>
      </c>
      <c r="I72" s="40">
        <f t="shared" si="30"/>
        <v>11105.806155978207</v>
      </c>
      <c r="J72" s="40">
        <f t="shared" si="30"/>
        <v>11308.009636591352</v>
      </c>
      <c r="K72" s="40">
        <f t="shared" si="30"/>
        <v>11512.292680950988</v>
      </c>
      <c r="L72" s="40">
        <f t="shared" si="30"/>
        <v>11717.579831592901</v>
      </c>
      <c r="M72" s="40">
        <f t="shared" si="30"/>
        <v>11923.617560286651</v>
      </c>
      <c r="N72" s="40">
        <f t="shared" si="30"/>
        <v>12128.115654045605</v>
      </c>
      <c r="O72" s="40">
        <f t="shared" si="30"/>
        <v>12329.949941375964</v>
      </c>
      <c r="P72" s="40">
        <f t="shared" si="30"/>
        <v>12527.776944501829</v>
      </c>
      <c r="Q72" s="40">
        <f t="shared" si="30"/>
        <v>12719.864412432684</v>
      </c>
      <c r="R72" s="40">
        <f t="shared" si="30"/>
        <v>12904.497188431496</v>
      </c>
      <c r="S72" s="40">
        <f t="shared" si="30"/>
        <v>13067.842297314093</v>
      </c>
      <c r="T72" s="40">
        <f t="shared" si="30"/>
        <v>13221.592957249411</v>
      </c>
      <c r="U72" s="40">
        <f t="shared" si="30"/>
        <v>13365.411485555602</v>
      </c>
      <c r="V72" s="40">
        <f t="shared" si="30"/>
        <v>13495.639779238347</v>
      </c>
      <c r="W72" s="40">
        <f t="shared" si="30"/>
        <v>13611.615961065263</v>
      </c>
      <c r="X72" s="40">
        <f t="shared" si="30"/>
        <v>13713.071454042087</v>
      </c>
      <c r="Y72" s="40">
        <f t="shared" si="30"/>
        <v>13806.58546762498</v>
      </c>
      <c r="Z72" s="40">
        <f t="shared" si="30"/>
        <v>13885.972141257238</v>
      </c>
      <c r="AA72" s="40">
        <f t="shared" si="30"/>
        <v>13950.380858267854</v>
      </c>
      <c r="AB72" s="40">
        <f t="shared" si="30"/>
        <v>14000.841491141653</v>
      </c>
    </row>
    <row r="73" spans="1:28" x14ac:dyDescent="0.25">
      <c r="A73" s="4" t="s">
        <v>334</v>
      </c>
      <c r="B73" s="40">
        <f t="shared" ref="B73:AB73" si="31">B64+B65</f>
        <v>10774.854368035329</v>
      </c>
      <c r="C73" s="40">
        <f t="shared" si="31"/>
        <v>10961.635142758343</v>
      </c>
      <c r="D73" s="40">
        <f t="shared" si="31"/>
        <v>11108.485987741744</v>
      </c>
      <c r="E73" s="40">
        <f t="shared" si="31"/>
        <v>11257.679371376258</v>
      </c>
      <c r="F73" s="40">
        <f t="shared" si="31"/>
        <v>11411.397542711553</v>
      </c>
      <c r="G73" s="40">
        <f t="shared" si="31"/>
        <v>11570.030021659824</v>
      </c>
      <c r="H73" s="40">
        <f t="shared" si="31"/>
        <v>11733.386542580331</v>
      </c>
      <c r="I73" s="40">
        <f t="shared" si="31"/>
        <v>11933.03208007104</v>
      </c>
      <c r="J73" s="40">
        <f t="shared" si="31"/>
        <v>12136.24988019688</v>
      </c>
      <c r="K73" s="40">
        <f t="shared" si="31"/>
        <v>12341.081435722708</v>
      </c>
      <c r="L73" s="40">
        <f t="shared" si="31"/>
        <v>12546.635994227972</v>
      </c>
      <c r="M73" s="40">
        <f t="shared" si="31"/>
        <v>12752.664603724343</v>
      </c>
      <c r="N73" s="40">
        <f t="shared" si="31"/>
        <v>12956.695533132823</v>
      </c>
      <c r="O73" s="40">
        <f t="shared" si="31"/>
        <v>13157.251733049086</v>
      </c>
      <c r="P73" s="40">
        <f t="shared" si="31"/>
        <v>13353.099480005125</v>
      </c>
      <c r="Q73" s="40">
        <f t="shared" si="31"/>
        <v>13542.009973590368</v>
      </c>
      <c r="R73" s="40">
        <f t="shared" si="31"/>
        <v>13722.472894343931</v>
      </c>
      <c r="S73" s="40">
        <f t="shared" si="31"/>
        <v>13879.852467176514</v>
      </c>
      <c r="T73" s="40">
        <f t="shared" si="31"/>
        <v>14026.231662553117</v>
      </c>
      <c r="U73" s="40">
        <f t="shared" si="31"/>
        <v>14161.312277480491</v>
      </c>
      <c r="V73" s="40">
        <f t="shared" si="31"/>
        <v>14281.511746805951</v>
      </c>
      <c r="W73" s="40">
        <f t="shared" si="31"/>
        <v>14385.768764473649</v>
      </c>
      <c r="X73" s="40">
        <f t="shared" si="31"/>
        <v>14473.695029675146</v>
      </c>
      <c r="Y73" s="40">
        <f t="shared" si="31"/>
        <v>14552.535001544633</v>
      </c>
      <c r="Z73" s="40">
        <f t="shared" si="31"/>
        <v>14615.715412090505</v>
      </c>
      <c r="AA73" s="40">
        <f t="shared" si="31"/>
        <v>14662.680641002902</v>
      </c>
      <c r="AB73" s="40">
        <f t="shared" si="31"/>
        <v>14694.172572129233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32.517417368824766</v>
      </c>
      <c r="C2" s="37">
        <f>BDbDT_calcs!C48</f>
        <v>32.327182129650737</v>
      </c>
      <c r="D2" s="37">
        <f>BDbDT_calcs!D48</f>
        <v>32.021268398169326</v>
      </c>
      <c r="E2" s="37">
        <f>BDbDT_calcs!E48</f>
        <v>31.720388669645782</v>
      </c>
      <c r="F2" s="37">
        <f>BDbDT_calcs!F48</f>
        <v>31.417838573638516</v>
      </c>
      <c r="G2" s="37">
        <f>BDbDT_calcs!G48</f>
        <v>31.113660379579311</v>
      </c>
      <c r="H2" s="37">
        <f>BDbDT_calcs!H48</f>
        <v>30.808054507760097</v>
      </c>
      <c r="I2" s="37">
        <f>BDbDT_calcs!I48</f>
        <v>30.601845412358973</v>
      </c>
      <c r="J2" s="37">
        <f>BDbDT_calcs!J48</f>
        <v>30.37550050351237</v>
      </c>
      <c r="K2" s="37">
        <f>BDbDT_calcs!K48</f>
        <v>30.155435033136943</v>
      </c>
      <c r="L2" s="37">
        <f>BDbDT_calcs!L48</f>
        <v>29.917468758811111</v>
      </c>
      <c r="M2" s="37">
        <f>BDbDT_calcs!M48</f>
        <v>29.685754229399581</v>
      </c>
      <c r="N2" s="37">
        <f>BDbDT_calcs!N48</f>
        <v>29.463762013170196</v>
      </c>
      <c r="O2" s="37">
        <f>BDbDT_calcs!O48</f>
        <v>29.202709352131709</v>
      </c>
      <c r="P2" s="37">
        <f>BDbDT_calcs!P48</f>
        <v>28.954629117139699</v>
      </c>
      <c r="Q2" s="37">
        <f>BDbDT_calcs!Q48</f>
        <v>28.687921717235497</v>
      </c>
      <c r="R2" s="37">
        <f>BDbDT_calcs!R48</f>
        <v>28.419809148259379</v>
      </c>
      <c r="S2" s="37">
        <f>BDbDT_calcs!S48</f>
        <v>28.11611267892135</v>
      </c>
      <c r="T2" s="37">
        <f>BDbDT_calcs!T48</f>
        <v>27.814776152651859</v>
      </c>
      <c r="U2" s="37">
        <f>BDbDT_calcs!U48</f>
        <v>27.515447532249677</v>
      </c>
      <c r="V2" s="37">
        <f>BDbDT_calcs!V48</f>
        <v>27.217692308635453</v>
      </c>
      <c r="W2" s="37">
        <f>BDbDT_calcs!W48</f>
        <v>26.924600348545646</v>
      </c>
      <c r="X2" s="37">
        <f>BDbDT_calcs!X48</f>
        <v>26.660696680106643</v>
      </c>
      <c r="Y2" s="37">
        <f>BDbDT_calcs!Y48</f>
        <v>26.397296658837373</v>
      </c>
      <c r="Z2" s="37">
        <f>BDbDT_calcs!Z48</f>
        <v>26.151915404573675</v>
      </c>
      <c r="AA2" s="37">
        <f>BDbDT_calcs!AA48</f>
        <v>25.909918900608446</v>
      </c>
      <c r="AB2" s="37">
        <f>BDbDT_calcs!AB48</f>
        <v>25.667348863234821</v>
      </c>
    </row>
    <row r="3" spans="1:28" x14ac:dyDescent="0.25">
      <c r="A3" s="4" t="s">
        <v>216</v>
      </c>
      <c r="B3" s="37">
        <f>BDbDT_calcs!B49</f>
        <v>24.819234329645944</v>
      </c>
      <c r="C3" s="37">
        <f>BDbDT_calcs!C49</f>
        <v>24.725762739625232</v>
      </c>
      <c r="D3" s="37">
        <f>BDbDT_calcs!D49</f>
        <v>24.546452609968391</v>
      </c>
      <c r="E3" s="37">
        <f>BDbDT_calcs!E49</f>
        <v>24.367511599883116</v>
      </c>
      <c r="F3" s="37">
        <f>BDbDT_calcs!F49</f>
        <v>24.185821364516634</v>
      </c>
      <c r="G3" s="37">
        <f>BDbDT_calcs!G49</f>
        <v>24.008026711189533</v>
      </c>
      <c r="H3" s="37">
        <f>BDbDT_calcs!H49</f>
        <v>23.8309973243462</v>
      </c>
      <c r="I3" s="37">
        <f>BDbDT_calcs!I49</f>
        <v>23.706427373438839</v>
      </c>
      <c r="J3" s="37">
        <f>BDbDT_calcs!J49</f>
        <v>23.594977381221135</v>
      </c>
      <c r="K3" s="37">
        <f>BDbDT_calcs!K49</f>
        <v>23.466128354205654</v>
      </c>
      <c r="L3" s="37">
        <f>BDbDT_calcs!L49</f>
        <v>23.346310337223862</v>
      </c>
      <c r="M3" s="37">
        <f>BDbDT_calcs!M49</f>
        <v>23.209024032079057</v>
      </c>
      <c r="N3" s="37">
        <f>BDbDT_calcs!N49</f>
        <v>23.057459864380554</v>
      </c>
      <c r="O3" s="37">
        <f>BDbDT_calcs!O49</f>
        <v>22.924857765617304</v>
      </c>
      <c r="P3" s="37">
        <f>BDbDT_calcs!P49</f>
        <v>22.761122140063435</v>
      </c>
      <c r="Q3" s="37">
        <f>BDbDT_calcs!Q49</f>
        <v>22.606154539940352</v>
      </c>
      <c r="R3" s="37">
        <f>BDbDT_calcs!R49</f>
        <v>22.436339665236588</v>
      </c>
      <c r="S3" s="37">
        <f>BDbDT_calcs!S49</f>
        <v>22.246984133275294</v>
      </c>
      <c r="T3" s="37">
        <f>BDbDT_calcs!T49</f>
        <v>22.052956475042254</v>
      </c>
      <c r="U3" s="37">
        <f>BDbDT_calcs!U49</f>
        <v>21.860725564123168</v>
      </c>
      <c r="V3" s="37">
        <f>BDbDT_calcs!V49</f>
        <v>21.676754670547787</v>
      </c>
      <c r="W3" s="37">
        <f>BDbDT_calcs!W49</f>
        <v>21.497336595926416</v>
      </c>
      <c r="X3" s="37">
        <f>BDbDT_calcs!X49</f>
        <v>21.315319077547379</v>
      </c>
      <c r="Y3" s="37">
        <f>BDbDT_calcs!Y49</f>
        <v>21.147550080558172</v>
      </c>
      <c r="Z3" s="37">
        <f>BDbDT_calcs!Z49</f>
        <v>20.976661569088087</v>
      </c>
      <c r="AA3" s="37">
        <f>BDbDT_calcs!AA49</f>
        <v>20.816075791859237</v>
      </c>
      <c r="AB3" s="37">
        <f>BDbDT_calcs!AB49</f>
        <v>20.675933864793109</v>
      </c>
    </row>
    <row r="4" spans="1:28" x14ac:dyDescent="0.25">
      <c r="A4" s="4" t="s">
        <v>217</v>
      </c>
      <c r="B4" s="37">
        <f>BDbDT_calcs!B50</f>
        <v>39.321213348693043</v>
      </c>
      <c r="C4" s="37">
        <f>BDbDT_calcs!C50</f>
        <v>39.128621962754416</v>
      </c>
      <c r="D4" s="37">
        <f>BDbDT_calcs!D50</f>
        <v>38.80418209497855</v>
      </c>
      <c r="E4" s="37">
        <f>BDbDT_calcs!E50</f>
        <v>38.477721052295813</v>
      </c>
      <c r="F4" s="37">
        <f>BDbDT_calcs!F50</f>
        <v>38.153492635272507</v>
      </c>
      <c r="G4" s="37">
        <f>BDbDT_calcs!G50</f>
        <v>37.835517219106443</v>
      </c>
      <c r="H4" s="37">
        <f>BDbDT_calcs!H50</f>
        <v>37.508164231394481</v>
      </c>
      <c r="I4" s="37">
        <f>BDbDT_calcs!I50</f>
        <v>37.293249815779717</v>
      </c>
      <c r="J4" s="37">
        <f>BDbDT_calcs!J50</f>
        <v>37.063435201914992</v>
      </c>
      <c r="K4" s="37">
        <f>BDbDT_calcs!K50</f>
        <v>36.821294233827423</v>
      </c>
      <c r="L4" s="37">
        <f>BDbDT_calcs!L50</f>
        <v>36.5627836027735</v>
      </c>
      <c r="M4" s="37">
        <f>BDbDT_calcs!M50</f>
        <v>36.28778926682746</v>
      </c>
      <c r="N4" s="37">
        <f>BDbDT_calcs!N50</f>
        <v>35.996144465437446</v>
      </c>
      <c r="O4" s="37">
        <f>BDbDT_calcs!O50</f>
        <v>35.675592562217098</v>
      </c>
      <c r="P4" s="37">
        <f>BDbDT_calcs!P50</f>
        <v>35.341930404571798</v>
      </c>
      <c r="Q4" s="37">
        <f>BDbDT_calcs!Q50</f>
        <v>34.990802998629839</v>
      </c>
      <c r="R4" s="37">
        <f>BDbDT_calcs!R50</f>
        <v>34.621812853054358</v>
      </c>
      <c r="S4" s="37">
        <f>BDbDT_calcs!S50</f>
        <v>34.209936293653612</v>
      </c>
      <c r="T4" s="37">
        <f>BDbDT_calcs!T50</f>
        <v>33.800749040896378</v>
      </c>
      <c r="U4" s="37">
        <f>BDbDT_calcs!U50</f>
        <v>33.393805640398732</v>
      </c>
      <c r="V4" s="37">
        <f>BDbDT_calcs!V50</f>
        <v>32.992656877902689</v>
      </c>
      <c r="W4" s="37">
        <f>BDbDT_calcs!W50</f>
        <v>32.604964148217981</v>
      </c>
      <c r="X4" s="37">
        <f>BDbDT_calcs!X50</f>
        <v>32.234368178154227</v>
      </c>
      <c r="Y4" s="37">
        <f>BDbDT_calcs!Y50</f>
        <v>31.87235887650894</v>
      </c>
      <c r="Z4" s="37">
        <f>BDbDT_calcs!Z50</f>
        <v>31.522634320067937</v>
      </c>
      <c r="AA4" s="37">
        <f>BDbDT_calcs!AA50</f>
        <v>31.193104890349364</v>
      </c>
      <c r="AB4" s="37">
        <f>BDbDT_calcs!AB50</f>
        <v>30.875154082673102</v>
      </c>
    </row>
    <row r="5" spans="1:28" x14ac:dyDescent="0.25">
      <c r="A5" s="4" t="s">
        <v>218</v>
      </c>
      <c r="B5" s="37">
        <f>BDbDT_calcs!B51</f>
        <v>0.76897407659993799</v>
      </c>
      <c r="C5" s="37">
        <f>BDbDT_calcs!C51</f>
        <v>0.75991302605746969</v>
      </c>
      <c r="D5" s="37">
        <f>BDbDT_calcs!D51</f>
        <v>0.74837860964703451</v>
      </c>
      <c r="E5" s="37">
        <f>BDbDT_calcs!E51</f>
        <v>0.73664857449097032</v>
      </c>
      <c r="F5" s="37">
        <f>BDbDT_calcs!F51</f>
        <v>0.72472690630603465</v>
      </c>
      <c r="G5" s="37">
        <f>BDbDT_calcs!G51</f>
        <v>0.71294051133709624</v>
      </c>
      <c r="H5" s="37">
        <f>BDbDT_calcs!H51</f>
        <v>0.7008009162658656</v>
      </c>
      <c r="I5" s="37">
        <f>BDbDT_calcs!I51</f>
        <v>0.69084876486962776</v>
      </c>
      <c r="J5" s="37">
        <f>BDbDT_calcs!J51</f>
        <v>0.68096814433602082</v>
      </c>
      <c r="K5" s="37">
        <f>BDbDT_calcs!K51</f>
        <v>0.67113254239350606</v>
      </c>
      <c r="L5" s="37">
        <f>BDbDT_calcs!L51</f>
        <v>0.66167004758363657</v>
      </c>
      <c r="M5" s="37">
        <f>BDbDT_calcs!M51</f>
        <v>0.65274605130625907</v>
      </c>
      <c r="N5" s="37">
        <f>BDbDT_calcs!N51</f>
        <v>0.64386531903900024</v>
      </c>
      <c r="O5" s="37">
        <f>BDbDT_calcs!O51</f>
        <v>0.63552309995826395</v>
      </c>
      <c r="P5" s="37">
        <f>BDbDT_calcs!P51</f>
        <v>0.62722131710462992</v>
      </c>
      <c r="Q5" s="37">
        <f>BDbDT_calcs!Q51</f>
        <v>0.61928920913508467</v>
      </c>
      <c r="R5" s="37">
        <f>BDbDT_calcs!R51</f>
        <v>0.61155750911222417</v>
      </c>
      <c r="S5" s="37">
        <f>BDbDT_calcs!S51</f>
        <v>0.60327768653819336</v>
      </c>
      <c r="T5" s="37">
        <f>BDbDT_calcs!T51</f>
        <v>0.59520886618333557</v>
      </c>
      <c r="U5" s="37">
        <f>BDbDT_calcs!U51</f>
        <v>0.58717562013336233</v>
      </c>
      <c r="V5" s="37">
        <f>BDbDT_calcs!V51</f>
        <v>0.57950555405222159</v>
      </c>
      <c r="W5" s="37">
        <f>BDbDT_calcs!W51</f>
        <v>0.57168318851250011</v>
      </c>
      <c r="X5" s="37">
        <f>BDbDT_calcs!X51</f>
        <v>0.56420582817487042</v>
      </c>
      <c r="Y5" s="37">
        <f>BDbDT_calcs!Y51</f>
        <v>0.55723923546397669</v>
      </c>
      <c r="Z5" s="37">
        <f>BDbDT_calcs!Z51</f>
        <v>0.55026680756756552</v>
      </c>
      <c r="AA5" s="37">
        <f>BDbDT_calcs!AA51</f>
        <v>0.54362184301218952</v>
      </c>
      <c r="AB5" s="37">
        <f>BDbDT_calcs!AB51</f>
        <v>0.5369558486926016</v>
      </c>
    </row>
    <row r="6" spans="1:28" x14ac:dyDescent="0.25">
      <c r="A6" s="4" t="s">
        <v>219</v>
      </c>
      <c r="B6" s="37">
        <f>BDbDT_calcs!B52</f>
        <v>0.46532977437849016</v>
      </c>
      <c r="C6" s="37">
        <f>BDbDT_calcs!C52</f>
        <v>0.46774821076608947</v>
      </c>
      <c r="D6" s="37">
        <f>BDbDT_calcs!D52</f>
        <v>0.46854253379790695</v>
      </c>
      <c r="E6" s="37">
        <f>BDbDT_calcs!E52</f>
        <v>0.46993209937455516</v>
      </c>
      <c r="F6" s="37">
        <f>BDbDT_calcs!F52</f>
        <v>0.47138060307916757</v>
      </c>
      <c r="G6" s="37">
        <f>BDbDT_calcs!G52</f>
        <v>0.47289074794148678</v>
      </c>
      <c r="H6" s="37">
        <f>BDbDT_calcs!H52</f>
        <v>0.47446785733656288</v>
      </c>
      <c r="I6" s="37">
        <f>BDbDT_calcs!I52</f>
        <v>0.47741973029353624</v>
      </c>
      <c r="J6" s="37">
        <f>BDbDT_calcs!J52</f>
        <v>0.48045571543682003</v>
      </c>
      <c r="K6" s="37">
        <f>BDbDT_calcs!K52</f>
        <v>0.48464218736047077</v>
      </c>
      <c r="L6" s="37">
        <f>BDbDT_calcs!L52</f>
        <v>0.48782330341790398</v>
      </c>
      <c r="M6" s="37">
        <f>BDbDT_calcs!M52</f>
        <v>0.49108034629977254</v>
      </c>
      <c r="N6" s="37">
        <f>BDbDT_calcs!N52</f>
        <v>0.49441574579697678</v>
      </c>
      <c r="O6" s="37">
        <f>BDbDT_calcs!O52</f>
        <v>0.4978320203016478</v>
      </c>
      <c r="P6" s="37">
        <f>BDbDT_calcs!P52</f>
        <v>0.50078441939159513</v>
      </c>
      <c r="Q6" s="37">
        <f>BDbDT_calcs!Q52</f>
        <v>0.50436582215240366</v>
      </c>
      <c r="R6" s="37">
        <f>BDbDT_calcs!R52</f>
        <v>0.50693172652564378</v>
      </c>
      <c r="S6" s="37">
        <f>BDbDT_calcs!S52</f>
        <v>0.50963905654991037</v>
      </c>
      <c r="T6" s="37">
        <f>BDbDT_calcs!T52</f>
        <v>0.51297665504045942</v>
      </c>
      <c r="U6" s="37">
        <f>BDbDT_calcs!U52</f>
        <v>0.51528491494694562</v>
      </c>
      <c r="V6" s="37">
        <f>BDbDT_calcs!V52</f>
        <v>0.51821549769974529</v>
      </c>
      <c r="W6" s="37">
        <f>BDbDT_calcs!W52</f>
        <v>0.5212103473451658</v>
      </c>
      <c r="X6" s="37">
        <f>BDbDT_calcs!X52</f>
        <v>0.52370548705263897</v>
      </c>
      <c r="Y6" s="37">
        <f>BDbDT_calcs!Y52</f>
        <v>0.52737033422936097</v>
      </c>
      <c r="Z6" s="37">
        <f>BDbDT_calcs!Z52</f>
        <v>0.52996473406460864</v>
      </c>
      <c r="AA6" s="37">
        <f>BDbDT_calcs!AA52</f>
        <v>0.53259758576925742</v>
      </c>
      <c r="AB6" s="37">
        <f>BDbDT_calcs!AB52</f>
        <v>0.53526230609484893</v>
      </c>
    </row>
    <row r="7" spans="1:28" x14ac:dyDescent="0.25">
      <c r="A7" s="4" t="s">
        <v>220</v>
      </c>
      <c r="B7" s="37">
        <f>BDbDT_calcs!B53</f>
        <v>10.450224645859263</v>
      </c>
      <c r="C7" s="37">
        <f>BDbDT_calcs!C53</f>
        <v>10.557710459567096</v>
      </c>
      <c r="D7" s="37">
        <f>BDbDT_calcs!D53</f>
        <v>10.607883156328949</v>
      </c>
      <c r="E7" s="37">
        <f>BDbDT_calcs!E53</f>
        <v>10.672952490719496</v>
      </c>
      <c r="F7" s="37">
        <f>BDbDT_calcs!F53</f>
        <v>10.732393010722875</v>
      </c>
      <c r="G7" s="37">
        <f>BDbDT_calcs!G53</f>
        <v>10.779455626539129</v>
      </c>
      <c r="H7" s="37">
        <f>BDbDT_calcs!H53</f>
        <v>10.855390237401352</v>
      </c>
      <c r="I7" s="37">
        <f>BDbDT_calcs!I53</f>
        <v>10.935372844969804</v>
      </c>
      <c r="J7" s="37">
        <f>BDbDT_calcs!J53</f>
        <v>11.024194353776952</v>
      </c>
      <c r="K7" s="37">
        <f>BDbDT_calcs!K53</f>
        <v>11.094046322398381</v>
      </c>
      <c r="L7" s="37">
        <f>BDbDT_calcs!L53</f>
        <v>11.172463145781132</v>
      </c>
      <c r="M7" s="37">
        <f>BDbDT_calcs!M53</f>
        <v>11.231907130781376</v>
      </c>
      <c r="N7" s="37">
        <f>BDbDT_calcs!N53</f>
        <v>11.306930662825469</v>
      </c>
      <c r="O7" s="37">
        <f>BDbDT_calcs!O53</f>
        <v>11.369906492684954</v>
      </c>
      <c r="P7" s="37">
        <f>BDbDT_calcs!P53</f>
        <v>11.420768993894283</v>
      </c>
      <c r="Q7" s="37">
        <f>BDbDT_calcs!Q53</f>
        <v>11.459418162667573</v>
      </c>
      <c r="R7" s="37">
        <f>BDbDT_calcs!R53</f>
        <v>11.499735955522581</v>
      </c>
      <c r="S7" s="37">
        <f>BDbDT_calcs!S53</f>
        <v>11.523656055246692</v>
      </c>
      <c r="T7" s="37">
        <f>BDbDT_calcs!T53</f>
        <v>11.521047021409361</v>
      </c>
      <c r="U7" s="37">
        <f>BDbDT_calcs!U53</f>
        <v>11.53392734419551</v>
      </c>
      <c r="V7" s="37">
        <f>BDbDT_calcs!V53</f>
        <v>11.53399713953581</v>
      </c>
      <c r="W7" s="37">
        <f>BDbDT_calcs!W53</f>
        <v>11.535170097521725</v>
      </c>
      <c r="X7" s="37">
        <f>BDbDT_calcs!X53</f>
        <v>11.551496145957614</v>
      </c>
      <c r="Y7" s="37">
        <f>BDbDT_calcs!Y53</f>
        <v>11.547372683137635</v>
      </c>
      <c r="Z7" s="37">
        <f>BDbDT_calcs!Z53</f>
        <v>11.565333895092142</v>
      </c>
      <c r="AA7" s="37">
        <f>BDbDT_calcs!AA53</f>
        <v>11.562424481877107</v>
      </c>
      <c r="AB7" s="37">
        <f>BDbDT_calcs!AB53</f>
        <v>11.581415698015563</v>
      </c>
    </row>
    <row r="8" spans="1:28" x14ac:dyDescent="0.25">
      <c r="A8" s="4" t="s">
        <v>221</v>
      </c>
      <c r="B8" s="37">
        <f>BDbDT_calcs!B54</f>
        <v>3.2742138230057529</v>
      </c>
      <c r="C8" s="37">
        <f>BDbDT_calcs!C54</f>
        <v>3.2934651421951266</v>
      </c>
      <c r="D8" s="37">
        <f>BDbDT_calcs!D54</f>
        <v>3.3029855302847571</v>
      </c>
      <c r="E8" s="37">
        <f>BDbDT_calcs!E54</f>
        <v>3.3137362850013758</v>
      </c>
      <c r="F8" s="37">
        <f>BDbDT_calcs!F54</f>
        <v>3.3274487703705691</v>
      </c>
      <c r="G8" s="37">
        <f>BDbDT_calcs!G54</f>
        <v>3.3381921970087971</v>
      </c>
      <c r="H8" s="37">
        <f>BDbDT_calcs!H54</f>
        <v>3.3485605983217717</v>
      </c>
      <c r="I8" s="37">
        <f>BDbDT_calcs!I54</f>
        <v>3.3677820953722573</v>
      </c>
      <c r="J8" s="37">
        <f>BDbDT_calcs!J54</f>
        <v>3.3858902559141009</v>
      </c>
      <c r="K8" s="37">
        <f>BDbDT_calcs!K54</f>
        <v>3.4027741367477113</v>
      </c>
      <c r="L8" s="37">
        <f>BDbDT_calcs!L54</f>
        <v>3.4175893377302171</v>
      </c>
      <c r="M8" s="37">
        <f>BDbDT_calcs!M54</f>
        <v>3.430336520929143</v>
      </c>
      <c r="N8" s="37">
        <f>BDbDT_calcs!N54</f>
        <v>3.4410114054702161</v>
      </c>
      <c r="O8" s="37">
        <f>BDbDT_calcs!O54</f>
        <v>3.4496080384083108</v>
      </c>
      <c r="P8" s="37">
        <f>BDbDT_calcs!P54</f>
        <v>3.4535273138777103</v>
      </c>
      <c r="Q8" s="37">
        <f>BDbDT_calcs!Q54</f>
        <v>3.4553205378250595</v>
      </c>
      <c r="R8" s="37">
        <f>BDbDT_calcs!R54</f>
        <v>3.4523575591651721</v>
      </c>
      <c r="S8" s="37">
        <f>BDbDT_calcs!S54</f>
        <v>3.446503470601582</v>
      </c>
      <c r="T8" s="37">
        <f>BDbDT_calcs!T54</f>
        <v>3.4375898131279703</v>
      </c>
      <c r="U8" s="37">
        <f>BDbDT_calcs!U54</f>
        <v>3.4255616369705586</v>
      </c>
      <c r="V8" s="37">
        <f>BDbDT_calcs!V54</f>
        <v>3.4138505972230462</v>
      </c>
      <c r="W8" s="37">
        <f>BDbDT_calcs!W54</f>
        <v>3.3980203468522951</v>
      </c>
      <c r="X8" s="37">
        <f>BDbDT_calcs!X54</f>
        <v>3.3867824559384916</v>
      </c>
      <c r="Y8" s="37">
        <f>BDbDT_calcs!Y54</f>
        <v>3.3748463807677402</v>
      </c>
      <c r="Z8" s="37">
        <f>BDbDT_calcs!Z54</f>
        <v>3.3630421840358631</v>
      </c>
      <c r="AA8" s="37">
        <f>BDbDT_calcs!AA54</f>
        <v>3.3522094524555688</v>
      </c>
      <c r="AB8" s="37">
        <f>BDbDT_calcs!AB54</f>
        <v>3.3431992764863629</v>
      </c>
    </row>
    <row r="9" spans="1:28" x14ac:dyDescent="0.25">
      <c r="A9" s="4" t="s">
        <v>222</v>
      </c>
      <c r="B9" s="37">
        <f>BDbDT_calcs!B55</f>
        <v>52.213954891053646</v>
      </c>
      <c r="C9" s="37">
        <f>BDbDT_calcs!C55</f>
        <v>51.791013947925606</v>
      </c>
      <c r="D9" s="37">
        <f>BDbDT_calcs!D55</f>
        <v>51.176308217012064</v>
      </c>
      <c r="E9" s="37">
        <f>BDbDT_calcs!E55</f>
        <v>50.56210235241668</v>
      </c>
      <c r="F9" s="37">
        <f>BDbDT_calcs!F55</f>
        <v>49.928770262379743</v>
      </c>
      <c r="G9" s="37">
        <f>BDbDT_calcs!G55</f>
        <v>49.312170442029164</v>
      </c>
      <c r="H9" s="37">
        <f>BDbDT_calcs!H55</f>
        <v>48.696601520741986</v>
      </c>
      <c r="I9" s="37">
        <f>BDbDT_calcs!I55</f>
        <v>48.217786194858228</v>
      </c>
      <c r="J9" s="37">
        <f>BDbDT_calcs!J55</f>
        <v>47.736755317970093</v>
      </c>
      <c r="K9" s="37">
        <f>BDbDT_calcs!K55</f>
        <v>47.247709183274466</v>
      </c>
      <c r="L9" s="37">
        <f>BDbDT_calcs!L55</f>
        <v>46.758569301425368</v>
      </c>
      <c r="M9" s="37">
        <f>BDbDT_calcs!M55</f>
        <v>46.26525149540587</v>
      </c>
      <c r="N9" s="37">
        <f>BDbDT_calcs!N55</f>
        <v>45.775639642344217</v>
      </c>
      <c r="O9" s="37">
        <f>BDbDT_calcs!O55</f>
        <v>45.273513347534063</v>
      </c>
      <c r="P9" s="37">
        <f>BDbDT_calcs!P55</f>
        <v>44.770701480486593</v>
      </c>
      <c r="Q9" s="37">
        <f>BDbDT_calcs!Q55</f>
        <v>44.266907548306932</v>
      </c>
      <c r="R9" s="37">
        <f>BDbDT_calcs!R55</f>
        <v>43.765844676209589</v>
      </c>
      <c r="S9" s="37">
        <f>BDbDT_calcs!S55</f>
        <v>43.2136024333305</v>
      </c>
      <c r="T9" s="37">
        <f>BDbDT_calcs!T55</f>
        <v>42.672780646088107</v>
      </c>
      <c r="U9" s="37">
        <f>BDbDT_calcs!U55</f>
        <v>42.151040941211555</v>
      </c>
      <c r="V9" s="37">
        <f>BDbDT_calcs!V55</f>
        <v>41.639607893559159</v>
      </c>
      <c r="W9" s="37">
        <f>BDbDT_calcs!W55</f>
        <v>41.158361063487149</v>
      </c>
      <c r="X9" s="37">
        <f>BDbDT_calcs!X55</f>
        <v>40.686196951768459</v>
      </c>
      <c r="Y9" s="37">
        <f>BDbDT_calcs!Y55</f>
        <v>40.235090920513102</v>
      </c>
      <c r="Z9" s="37">
        <f>BDbDT_calcs!Z55</f>
        <v>39.800427073844645</v>
      </c>
      <c r="AA9" s="37">
        <f>BDbDT_calcs!AA55</f>
        <v>39.377564503445754</v>
      </c>
      <c r="AB9" s="37">
        <f>BDbDT_calcs!AB55</f>
        <v>38.970185921753256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5156.4103284833946</v>
      </c>
      <c r="C2" s="37">
        <f>BDbDT_calcs!C58</f>
        <v>5259.296800517026</v>
      </c>
      <c r="D2" s="37">
        <f>BDbDT_calcs!D58</f>
        <v>5343.1397422456312</v>
      </c>
      <c r="E2" s="37">
        <f>BDbDT_calcs!E58</f>
        <v>5426.983900005197</v>
      </c>
      <c r="F2" s="37">
        <f>BDbDT_calcs!F58</f>
        <v>5511.2991950680316</v>
      </c>
      <c r="G2" s="37">
        <f>BDbDT_calcs!G58</f>
        <v>5596.2523674792374</v>
      </c>
      <c r="H2" s="37">
        <f>BDbDT_calcs!H58</f>
        <v>5681.4648986097691</v>
      </c>
      <c r="I2" s="37">
        <f>BDbDT_calcs!I58</f>
        <v>5782.3757776148595</v>
      </c>
      <c r="J2" s="37">
        <f>BDbDT_calcs!J58</f>
        <v>5882.8081171495387</v>
      </c>
      <c r="K2" s="37">
        <f>BDbDT_calcs!K58</f>
        <v>5982.6552363410638</v>
      </c>
      <c r="L2" s="37">
        <f>BDbDT_calcs!L58</f>
        <v>6081.4048383423133</v>
      </c>
      <c r="M2" s="37">
        <f>BDbDT_calcs!M58</f>
        <v>6178.9455985129298</v>
      </c>
      <c r="N2" s="37">
        <f>BDbDT_calcs!N58</f>
        <v>6274.6337764714453</v>
      </c>
      <c r="O2" s="37">
        <f>BDbDT_calcs!O58</f>
        <v>6368.2160385657862</v>
      </c>
      <c r="P2" s="37">
        <f>BDbDT_calcs!P58</f>
        <v>6458.8536126323015</v>
      </c>
      <c r="Q2" s="37">
        <f>BDbDT_calcs!Q58</f>
        <v>6546.3874593164919</v>
      </c>
      <c r="R2" s="37">
        <f>BDbDT_calcs!R58</f>
        <v>6629.7913567710775</v>
      </c>
      <c r="S2" s="37">
        <f>BDbDT_calcs!S58</f>
        <v>6702.6741432079043</v>
      </c>
      <c r="T2" s="37">
        <f>BDbDT_calcs!T58</f>
        <v>6770.9722461988695</v>
      </c>
      <c r="U2" s="37">
        <f>BDbDT_calcs!U58</f>
        <v>6835.0020615394978</v>
      </c>
      <c r="V2" s="37">
        <f>BDbDT_calcs!V58</f>
        <v>6893.0676921455433</v>
      </c>
      <c r="W2" s="37">
        <f>BDbDT_calcs!W58</f>
        <v>6945.5084559924326</v>
      </c>
      <c r="X2" s="37">
        <f>BDbDT_calcs!X58</f>
        <v>6991.8737837649796</v>
      </c>
      <c r="Y2" s="37">
        <f>BDbDT_calcs!Y58</f>
        <v>7034.9850343534818</v>
      </c>
      <c r="Z2" s="37">
        <f>BDbDT_calcs!Z58</f>
        <v>7072.2179521775688</v>
      </c>
      <c r="AA2" s="37">
        <f>BDbDT_calcs!AA58</f>
        <v>7103.9345336748993</v>
      </c>
      <c r="AB2" s="37">
        <f>BDbDT_calcs!AB58</f>
        <v>7130.7090038258066</v>
      </c>
    </row>
    <row r="3" spans="1:28" x14ac:dyDescent="0.25">
      <c r="A3" s="4" t="s">
        <v>216</v>
      </c>
      <c r="B3" s="37">
        <f>BDbDT_calcs!B59</f>
        <v>4638.1208750906762</v>
      </c>
      <c r="C3" s="37">
        <f>BDbDT_calcs!C59</f>
        <v>4718.4130296868407</v>
      </c>
      <c r="D3" s="37">
        <f>BDbDT_calcs!D59</f>
        <v>4781.9611733701558</v>
      </c>
      <c r="E3" s="37">
        <f>BDbDT_calcs!E59</f>
        <v>4848.0022803985885</v>
      </c>
      <c r="F3" s="37">
        <f>BDbDT_calcs!F59</f>
        <v>4917.9045626003026</v>
      </c>
      <c r="G3" s="37">
        <f>BDbDT_calcs!G59</f>
        <v>4991.9245951269668</v>
      </c>
      <c r="H3" s="37">
        <f>BDbDT_calcs!H59</f>
        <v>5070.5206759061239</v>
      </c>
      <c r="I3" s="37">
        <f>BDbDT_calcs!I59</f>
        <v>5167.3028538619155</v>
      </c>
      <c r="J3" s="37">
        <f>BDbDT_calcs!J59</f>
        <v>5268.3525496157845</v>
      </c>
      <c r="K3" s="37">
        <f>BDbDT_calcs!K59</f>
        <v>5372.3546691580759</v>
      </c>
      <c r="L3" s="37">
        <f>BDbDT_calcs!L59</f>
        <v>5479.2226430371702</v>
      </c>
      <c r="M3" s="37">
        <f>BDbDT_calcs!M59</f>
        <v>5588.6459821414583</v>
      </c>
      <c r="N3" s="37">
        <f>BDbDT_calcs!N59</f>
        <v>5699.4499116307024</v>
      </c>
      <c r="O3" s="37">
        <f>BDbDT_calcs!O59</f>
        <v>5810.5037493182754</v>
      </c>
      <c r="P3" s="37">
        <f>BDbDT_calcs!P59</f>
        <v>5921.5553502344219</v>
      </c>
      <c r="Q3" s="37">
        <f>BDbDT_calcs!Q59</f>
        <v>6030.9684116822491</v>
      </c>
      <c r="R3" s="37">
        <f>BDbDT_calcs!R59</f>
        <v>6138.2669162328748</v>
      </c>
      <c r="S3" s="37">
        <f>BDbDT_calcs!S59</f>
        <v>6236.3475574923286</v>
      </c>
      <c r="T3" s="37">
        <f>BDbDT_calcs!T59</f>
        <v>6330.5637235403019</v>
      </c>
      <c r="U3" s="37">
        <f>BDbDT_calcs!U59</f>
        <v>6420.2925460620063</v>
      </c>
      <c r="V3" s="37">
        <f>BDbDT_calcs!V59</f>
        <v>6504.0314637242482</v>
      </c>
      <c r="W3" s="37">
        <f>BDbDT_calcs!W59</f>
        <v>6580.4045175079636</v>
      </c>
      <c r="X3" s="37">
        <f>BDbDT_calcs!X59</f>
        <v>6649.6832631488542</v>
      </c>
      <c r="Y3" s="37">
        <f>BDbDT_calcs!Y59</f>
        <v>6714.8964598162438</v>
      </c>
      <c r="Z3" s="37">
        <f>BDbDT_calcs!Z59</f>
        <v>6773.0935754799366</v>
      </c>
      <c r="AA3" s="37">
        <f>BDbDT_calcs!AA59</f>
        <v>6823.1434358306751</v>
      </c>
      <c r="AB3" s="37">
        <f>BDbDT_calcs!AB59</f>
        <v>6865.0658740686267</v>
      </c>
    </row>
    <row r="4" spans="1:28" x14ac:dyDescent="0.25">
      <c r="A4" s="4" t="s">
        <v>217</v>
      </c>
      <c r="B4" s="37">
        <f>BDbDT_calcs!B60</f>
        <v>9350.4792310089615</v>
      </c>
      <c r="C4" s="37">
        <f>BDbDT_calcs!C60</f>
        <v>9523.1586149357499</v>
      </c>
      <c r="D4" s="37">
        <f>BDbDT_calcs!D60</f>
        <v>9660.9051918910172</v>
      </c>
      <c r="E4" s="37">
        <f>BDbDT_calcs!E60</f>
        <v>9800.1795866800603</v>
      </c>
      <c r="F4" s="37">
        <f>BDbDT_calcs!F60</f>
        <v>9942.9965941050978</v>
      </c>
      <c r="G4" s="37">
        <f>BDbDT_calcs!G60</f>
        <v>10089.405082339221</v>
      </c>
      <c r="H4" s="37">
        <f>BDbDT_calcs!H60</f>
        <v>10239.7843558198</v>
      </c>
      <c r="I4" s="37">
        <f>BDbDT_calcs!I60</f>
        <v>10421.568470489328</v>
      </c>
      <c r="J4" s="37">
        <f>BDbDT_calcs!J60</f>
        <v>10606.223529595483</v>
      </c>
      <c r="K4" s="37">
        <f>BDbDT_calcs!K60</f>
        <v>10791.897061647349</v>
      </c>
      <c r="L4" s="37">
        <f>BDbDT_calcs!L60</f>
        <v>10978.029721823306</v>
      </c>
      <c r="M4" s="37">
        <f>BDbDT_calcs!M60</f>
        <v>11164.204088590372</v>
      </c>
      <c r="N4" s="37">
        <f>BDbDT_calcs!N60</f>
        <v>11348.395718484127</v>
      </c>
      <c r="O4" s="37">
        <f>BDbDT_calcs!O60</f>
        <v>11529.462141494212</v>
      </c>
      <c r="P4" s="37">
        <f>BDbDT_calcs!P60</f>
        <v>11705.889710460033</v>
      </c>
      <c r="Q4" s="37">
        <f>BDbDT_calcs!Q60</f>
        <v>11876.059803689448</v>
      </c>
      <c r="R4" s="37">
        <f>BDbDT_calcs!R60</f>
        <v>12038.39226211867</v>
      </c>
      <c r="S4" s="37">
        <f>BDbDT_calcs!S60</f>
        <v>12180.123935098649</v>
      </c>
      <c r="T4" s="37">
        <f>BDbDT_calcs!T60</f>
        <v>12311.953403087164</v>
      </c>
      <c r="U4" s="37">
        <f>BDbDT_calcs!U60</f>
        <v>12433.753597720064</v>
      </c>
      <c r="V4" s="37">
        <f>BDbDT_calcs!V60</f>
        <v>12542.08664653607</v>
      </c>
      <c r="W4" s="37">
        <f>BDbDT_calcs!W60</f>
        <v>12635.852281260151</v>
      </c>
      <c r="X4" s="37">
        <f>BDbDT_calcs!X60</f>
        <v>12715.151336321866</v>
      </c>
      <c r="Y4" s="37">
        <f>BDbDT_calcs!Y60</f>
        <v>12786.326088073733</v>
      </c>
      <c r="Z4" s="37">
        <f>BDbDT_calcs!Z60</f>
        <v>12843.524015789455</v>
      </c>
      <c r="AA4" s="37">
        <f>BDbDT_calcs!AA60</f>
        <v>12885.778237673709</v>
      </c>
      <c r="AB4" s="37">
        <f>BDbDT_calcs!AB60</f>
        <v>12914.010871218108</v>
      </c>
    </row>
    <row r="5" spans="1:28" x14ac:dyDescent="0.25">
      <c r="A5" s="4" t="s">
        <v>218</v>
      </c>
      <c r="B5" s="37">
        <f>BDbDT_calcs!B61</f>
        <v>59.450671320957667</v>
      </c>
      <c r="C5" s="37">
        <f>BDbDT_calcs!C61</f>
        <v>60.450546072853371</v>
      </c>
      <c r="D5" s="37">
        <f>BDbDT_calcs!D61</f>
        <v>61.238508307607681</v>
      </c>
      <c r="E5" s="37">
        <f>BDbDT_calcs!E61</f>
        <v>62.03388373241259</v>
      </c>
      <c r="F5" s="37">
        <f>BDbDT_calcs!F61</f>
        <v>62.857073680645669</v>
      </c>
      <c r="G5" s="37">
        <f>BDbDT_calcs!G61</f>
        <v>63.709915315494555</v>
      </c>
      <c r="H5" s="37">
        <f>BDbDT_calcs!H61</f>
        <v>64.591029226002291</v>
      </c>
      <c r="I5" s="37">
        <f>BDbDT_calcs!I61</f>
        <v>65.68252817409892</v>
      </c>
      <c r="J5" s="37">
        <f>BDbDT_calcs!J61</f>
        <v>66.80589433146605</v>
      </c>
      <c r="K5" s="37">
        <f>BDbDT_calcs!K61</f>
        <v>67.957264214309731</v>
      </c>
      <c r="L5" s="37">
        <f>BDbDT_calcs!L61</f>
        <v>69.137109531439435</v>
      </c>
      <c r="M5" s="37">
        <f>BDbDT_calcs!M61</f>
        <v>70.342258102903699</v>
      </c>
      <c r="N5" s="37">
        <f>BDbDT_calcs!N61</f>
        <v>71.576416444175976</v>
      </c>
      <c r="O5" s="37">
        <f>BDbDT_calcs!O61</f>
        <v>72.821792538328296</v>
      </c>
      <c r="P5" s="37">
        <f>BDbDT_calcs!P61</f>
        <v>74.086610421014115</v>
      </c>
      <c r="Q5" s="37">
        <f>BDbDT_calcs!Q61</f>
        <v>75.356024727617964</v>
      </c>
      <c r="R5" s="37">
        <f>BDbDT_calcs!R61</f>
        <v>76.628306398121595</v>
      </c>
      <c r="S5" s="37">
        <f>BDbDT_calcs!S61</f>
        <v>77.829357071697785</v>
      </c>
      <c r="T5" s="37">
        <f>BDbDT_calcs!T61</f>
        <v>79.016832107374228</v>
      </c>
      <c r="U5" s="37">
        <f>BDbDT_calcs!U61</f>
        <v>80.191725898391311</v>
      </c>
      <c r="V5" s="37">
        <f>BDbDT_calcs!V61</f>
        <v>81.344421723231264</v>
      </c>
      <c r="W5" s="37">
        <f>BDbDT_calcs!W61</f>
        <v>82.45942069143338</v>
      </c>
      <c r="X5" s="37">
        <f>BDbDT_calcs!X61</f>
        <v>83.530621970805953</v>
      </c>
      <c r="Y5" s="37">
        <f>BDbDT_calcs!Y61</f>
        <v>84.578574018670906</v>
      </c>
      <c r="Z5" s="37">
        <f>BDbDT_calcs!Z61</f>
        <v>85.579452084932242</v>
      </c>
      <c r="AA5" s="37">
        <f>BDbDT_calcs!AA61</f>
        <v>86.531836492031218</v>
      </c>
      <c r="AB5" s="37">
        <f>BDbDT_calcs!AB61</f>
        <v>87.426019044959617</v>
      </c>
    </row>
    <row r="6" spans="1:28" x14ac:dyDescent="0.25">
      <c r="A6" s="4" t="s">
        <v>219</v>
      </c>
      <c r="B6" s="37">
        <f>BDbDT_calcs!B62</f>
        <v>65.855782807598331</v>
      </c>
      <c r="C6" s="37">
        <f>BDbDT_calcs!C62</f>
        <v>67.521403174963211</v>
      </c>
      <c r="D6" s="37">
        <f>BDbDT_calcs!D62</f>
        <v>68.99950822404746</v>
      </c>
      <c r="E6" s="37">
        <f>BDbDT_calcs!E62</f>
        <v>70.582074824659784</v>
      </c>
      <c r="F6" s="37">
        <f>BDbDT_calcs!F62</f>
        <v>72.289851846842666</v>
      </c>
      <c r="G6" s="37">
        <f>BDbDT_calcs!G62</f>
        <v>74.121724332635139</v>
      </c>
      <c r="H6" s="37">
        <f>BDbDT_calcs!H62</f>
        <v>76.083043401875358</v>
      </c>
      <c r="I6" s="37">
        <f>BDbDT_calcs!I62</f>
        <v>78.388874972063505</v>
      </c>
      <c r="J6" s="37">
        <f>BDbDT_calcs!J62</f>
        <v>80.796366529956643</v>
      </c>
      <c r="K6" s="37">
        <f>BDbDT_calcs!K62</f>
        <v>83.290379397007186</v>
      </c>
      <c r="L6" s="37">
        <f>BDbDT_calcs!L62</f>
        <v>85.893176830329125</v>
      </c>
      <c r="M6" s="37">
        <f>BDbDT_calcs!M62</f>
        <v>88.589266581828241</v>
      </c>
      <c r="N6" s="37">
        <f>BDbDT_calcs!N62</f>
        <v>91.368464952650541</v>
      </c>
      <c r="O6" s="37">
        <f>BDbDT_calcs!O62</f>
        <v>94.21566406556498</v>
      </c>
      <c r="P6" s="37">
        <f>BDbDT_calcs!P62</f>
        <v>97.123201844253558</v>
      </c>
      <c r="Q6" s="37">
        <f>BDbDT_calcs!Q62</f>
        <v>100.07330602339337</v>
      </c>
      <c r="R6" s="37">
        <f>BDbDT_calcs!R62</f>
        <v>103.05724065969646</v>
      </c>
      <c r="S6" s="37">
        <f>BDbDT_calcs!S62</f>
        <v>105.95643918186634</v>
      </c>
      <c r="T6" s="37">
        <f>BDbDT_calcs!T62</f>
        <v>108.86921771914646</v>
      </c>
      <c r="U6" s="37">
        <f>BDbDT_calcs!U62</f>
        <v>111.77199509546281</v>
      </c>
      <c r="V6" s="37">
        <f>BDbDT_calcs!V62</f>
        <v>114.66821747869814</v>
      </c>
      <c r="W6" s="37">
        <f>BDbDT_calcs!W62</f>
        <v>117.54989908470631</v>
      </c>
      <c r="X6" s="37">
        <f>BDbDT_calcs!X62</f>
        <v>120.42660658823642</v>
      </c>
      <c r="Y6" s="37">
        <f>BDbDT_calcs!Y62</f>
        <v>123.29001248483802</v>
      </c>
      <c r="Z6" s="37">
        <f>BDbDT_calcs!Z62</f>
        <v>126.1433837014672</v>
      </c>
      <c r="AA6" s="37">
        <f>BDbDT_calcs!AA62</f>
        <v>128.9847870203277</v>
      </c>
      <c r="AB6" s="37">
        <f>BDbDT_calcs!AB62</f>
        <v>131.80425367488795</v>
      </c>
    </row>
    <row r="7" spans="1:28" x14ac:dyDescent="0.25">
      <c r="A7" s="4" t="s">
        <v>220</v>
      </c>
      <c r="B7" s="37">
        <f>BDbDT_calcs!B63</f>
        <v>460.78055745803567</v>
      </c>
      <c r="C7" s="37">
        <f>BDbDT_calcs!C63</f>
        <v>471.77311931441136</v>
      </c>
      <c r="D7" s="37">
        <f>BDbDT_calcs!D63</f>
        <v>481.52630413261926</v>
      </c>
      <c r="E7" s="37">
        <f>BDbDT_calcs!E63</f>
        <v>492.19285993583316</v>
      </c>
      <c r="F7" s="37">
        <f>BDbDT_calcs!F63</f>
        <v>502.96083485993171</v>
      </c>
      <c r="G7" s="37">
        <f>BDbDT_calcs!G63</f>
        <v>514.5493993479447</v>
      </c>
      <c r="H7" s="37">
        <f>BDbDT_calcs!H63</f>
        <v>526.493271022312</v>
      </c>
      <c r="I7" s="37">
        <f>BDbDT_calcs!I63</f>
        <v>540.16628234271832</v>
      </c>
      <c r="J7" s="37">
        <f>BDbDT_calcs!J63</f>
        <v>554.18384613444596</v>
      </c>
      <c r="K7" s="37">
        <f>BDbDT_calcs!K63</f>
        <v>569.14797569232235</v>
      </c>
      <c r="L7" s="37">
        <f>BDbDT_calcs!L63</f>
        <v>584.51982340782706</v>
      </c>
      <c r="M7" s="37">
        <f>BDbDT_calcs!M63</f>
        <v>600.48194701154648</v>
      </c>
      <c r="N7" s="37">
        <f>BDbDT_calcs!N63</f>
        <v>616.77505416465169</v>
      </c>
      <c r="O7" s="37">
        <f>BDbDT_calcs!O63</f>
        <v>633.45034327785766</v>
      </c>
      <c r="P7" s="37">
        <f>BDbDT_calcs!P63</f>
        <v>650.67742177652815</v>
      </c>
      <c r="Q7" s="37">
        <f>BDbDT_calcs!Q63</f>
        <v>668.37527799222346</v>
      </c>
      <c r="R7" s="37">
        <f>BDbDT_calcs!R63</f>
        <v>686.41937925500827</v>
      </c>
      <c r="S7" s="37">
        <f>BDbDT_calcs!S63</f>
        <v>703.93256596188121</v>
      </c>
      <c r="T7" s="37">
        <f>BDbDT_calcs!T63</f>
        <v>721.75350433572748</v>
      </c>
      <c r="U7" s="37">
        <f>BDbDT_calcs!U63</f>
        <v>739.69416684168266</v>
      </c>
      <c r="V7" s="37">
        <f>BDbDT_calcs!V63</f>
        <v>757.54049350034586</v>
      </c>
      <c r="W7" s="37">
        <f>BDbDT_calcs!W63</f>
        <v>775.75436002897163</v>
      </c>
      <c r="X7" s="37">
        <f>BDbDT_calcs!X63</f>
        <v>793.96288916117896</v>
      </c>
      <c r="Y7" s="37">
        <f>BDbDT_calcs!Y63</f>
        <v>812.39079304773736</v>
      </c>
      <c r="Z7" s="37">
        <f>BDbDT_calcs!Z63</f>
        <v>830.72528968138363</v>
      </c>
      <c r="AA7" s="37">
        <f>BDbDT_calcs!AA63</f>
        <v>849.08599708178576</v>
      </c>
      <c r="AB7" s="37">
        <f>BDbDT_calcs!AB63</f>
        <v>867.60034720369686</v>
      </c>
    </row>
    <row r="8" spans="1:28" x14ac:dyDescent="0.25">
      <c r="A8" s="4" t="s">
        <v>221</v>
      </c>
      <c r="B8" s="37">
        <f>BDbDT_calcs!B64</f>
        <v>213.18618458617775</v>
      </c>
      <c r="C8" s="37">
        <f>BDbDT_calcs!C64</f>
        <v>221.08057207689865</v>
      </c>
      <c r="D8" s="37">
        <f>BDbDT_calcs!D64</f>
        <v>228.35094570495369</v>
      </c>
      <c r="E8" s="37">
        <f>BDbDT_calcs!E64</f>
        <v>235.80288704575531</v>
      </c>
      <c r="F8" s="37">
        <f>BDbDT_calcs!F64</f>
        <v>243.43992473503516</v>
      </c>
      <c r="G8" s="37">
        <f>BDbDT_calcs!G64</f>
        <v>251.29272750151833</v>
      </c>
      <c r="H8" s="37">
        <f>BDbDT_calcs!H64</f>
        <v>259.44437330267255</v>
      </c>
      <c r="I8" s="37">
        <f>BDbDT_calcs!I64</f>
        <v>268.63134682996031</v>
      </c>
      <c r="J8" s="37">
        <f>BDbDT_calcs!J64</f>
        <v>278.09717465907283</v>
      </c>
      <c r="K8" s="37">
        <f>BDbDT_calcs!K64</f>
        <v>287.90894980013542</v>
      </c>
      <c r="L8" s="37">
        <f>BDbDT_calcs!L64</f>
        <v>298.11934098524318</v>
      </c>
      <c r="M8" s="37">
        <f>BDbDT_calcs!M64</f>
        <v>308.65924947562957</v>
      </c>
      <c r="N8" s="37">
        <f>BDbDT_calcs!N64</f>
        <v>319.61256648340969</v>
      </c>
      <c r="O8" s="37">
        <f>BDbDT_calcs!O64</f>
        <v>330.93016172200953</v>
      </c>
      <c r="P8" s="37">
        <f>BDbDT_calcs!P64</f>
        <v>342.60111948799982</v>
      </c>
      <c r="Q8" s="37">
        <f>BDbDT_calcs!Q64</f>
        <v>354.64420789351709</v>
      </c>
      <c r="R8" s="37">
        <f>BDbDT_calcs!R64</f>
        <v>366.9914188370841</v>
      </c>
      <c r="S8" s="37">
        <f>BDbDT_calcs!S64</f>
        <v>379.28223216111996</v>
      </c>
      <c r="T8" s="37">
        <f>BDbDT_calcs!T64</f>
        <v>391.8538849511433</v>
      </c>
      <c r="U8" s="37">
        <f>BDbDT_calcs!U64</f>
        <v>404.68244286541642</v>
      </c>
      <c r="V8" s="37">
        <f>BDbDT_calcs!V64</f>
        <v>417.71581866657169</v>
      </c>
      <c r="W8" s="37">
        <f>BDbDT_calcs!W64</f>
        <v>430.89758195951993</v>
      </c>
      <c r="X8" s="37">
        <f>BDbDT_calcs!X64</f>
        <v>444.2807616212757</v>
      </c>
      <c r="Y8" s="37">
        <f>BDbDT_calcs!Y64</f>
        <v>457.77682978729126</v>
      </c>
      <c r="Z8" s="37">
        <f>BDbDT_calcs!Z64</f>
        <v>471.37963127980424</v>
      </c>
      <c r="AA8" s="37">
        <f>BDbDT_calcs!AA64</f>
        <v>484.98283189509942</v>
      </c>
      <c r="AB8" s="37">
        <f>BDbDT_calcs!AB64</f>
        <v>498.57171732850696</v>
      </c>
    </row>
    <row r="9" spans="1:28" x14ac:dyDescent="0.25">
      <c r="A9" s="4" t="s">
        <v>222</v>
      </c>
      <c r="B9" s="37">
        <f>BDbDT_calcs!B65</f>
        <v>10561.66818344915</v>
      </c>
      <c r="C9" s="37">
        <f>BDbDT_calcs!C65</f>
        <v>10740.554570681445</v>
      </c>
      <c r="D9" s="37">
        <f>BDbDT_calcs!D65</f>
        <v>10880.135042036791</v>
      </c>
      <c r="E9" s="37">
        <f>BDbDT_calcs!E65</f>
        <v>11021.876484330503</v>
      </c>
      <c r="F9" s="37">
        <f>BDbDT_calcs!F65</f>
        <v>11167.957617976517</v>
      </c>
      <c r="G9" s="37">
        <f>BDbDT_calcs!G65</f>
        <v>11318.737294158305</v>
      </c>
      <c r="H9" s="37">
        <f>BDbDT_calcs!H65</f>
        <v>11473.942169277658</v>
      </c>
      <c r="I9" s="37">
        <f>BDbDT_calcs!I65</f>
        <v>11664.40073324108</v>
      </c>
      <c r="J9" s="37">
        <f>BDbDT_calcs!J65</f>
        <v>11858.152705537806</v>
      </c>
      <c r="K9" s="37">
        <f>BDbDT_calcs!K65</f>
        <v>12053.172485922572</v>
      </c>
      <c r="L9" s="37">
        <f>BDbDT_calcs!L65</f>
        <v>12248.516653242728</v>
      </c>
      <c r="M9" s="37">
        <f>BDbDT_calcs!M65</f>
        <v>12444.005354248713</v>
      </c>
      <c r="N9" s="37">
        <f>BDbDT_calcs!N65</f>
        <v>12637.082966649414</v>
      </c>
      <c r="O9" s="37">
        <f>BDbDT_calcs!O65</f>
        <v>12826.321571327077</v>
      </c>
      <c r="P9" s="37">
        <f>BDbDT_calcs!P65</f>
        <v>13010.498360517126</v>
      </c>
      <c r="Q9" s="37">
        <f>BDbDT_calcs!Q65</f>
        <v>13187.36576569685</v>
      </c>
      <c r="R9" s="37">
        <f>BDbDT_calcs!R65</f>
        <v>13355.481475506847</v>
      </c>
      <c r="S9" s="37">
        <f>BDbDT_calcs!S65</f>
        <v>13500.570235015393</v>
      </c>
      <c r="T9" s="37">
        <f>BDbDT_calcs!T65</f>
        <v>13634.377777601972</v>
      </c>
      <c r="U9" s="37">
        <f>BDbDT_calcs!U65</f>
        <v>13756.629834615074</v>
      </c>
      <c r="V9" s="37">
        <f>BDbDT_calcs!V65</f>
        <v>13863.79592813938</v>
      </c>
      <c r="W9" s="37">
        <f>BDbDT_calcs!W65</f>
        <v>13954.871182514129</v>
      </c>
      <c r="X9" s="37">
        <f>BDbDT_calcs!X65</f>
        <v>14029.41426805387</v>
      </c>
      <c r="Y9" s="37">
        <f>BDbDT_calcs!Y65</f>
        <v>14094.758171757341</v>
      </c>
      <c r="Z9" s="37">
        <f>BDbDT_calcs!Z65</f>
        <v>14144.335780810701</v>
      </c>
      <c r="AA9" s="37">
        <f>BDbDT_calcs!AA65</f>
        <v>14177.697809107804</v>
      </c>
      <c r="AB9" s="37">
        <f>BDbDT_calcs!AB65</f>
        <v>14195.600854800727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2026-08-17T20:29:08Z</dcterms:modified>
</cp:coreProperties>
</file>